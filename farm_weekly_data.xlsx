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organ\projects\cosecha\"/>
    </mc:Choice>
  </mc:AlternateContent>
  <xr:revisionPtr revIDLastSave="0" documentId="13_ncr:1_{0B02DE92-FF76-47B5-AB45-A60DD6243759}" xr6:coauthVersionLast="47" xr6:coauthVersionMax="47" xr10:uidLastSave="{00000000-0000-0000-0000-000000000000}"/>
  <bookViews>
    <workbookView xWindow="-98" yWindow="-98" windowWidth="21795" windowHeight="12975" activeTab="3" xr2:uid="{7915885C-F60B-463B-B635-3223ABE09B74}"/>
  </bookViews>
  <sheets>
    <sheet name="Sheet1" sheetId="2" r:id="rId1"/>
    <sheet name="weekly_data" sheetId="1" r:id="rId2"/>
    <sheet name="Sheet2" sheetId="3" r:id="rId3"/>
    <sheet name="Space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17" i="4"/>
  <c r="C16" i="4"/>
  <c r="C15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</calcChain>
</file>

<file path=xl/sharedStrings.xml><?xml version="1.0" encoding="utf-8"?>
<sst xmlns="http://schemas.openxmlformats.org/spreadsheetml/2006/main" count="39" uniqueCount="30">
  <si>
    <t>date</t>
  </si>
  <si>
    <t>category</t>
  </si>
  <si>
    <t>count</t>
  </si>
  <si>
    <t>planting</t>
  </si>
  <si>
    <t>beans</t>
  </si>
  <si>
    <t>irrigation</t>
  </si>
  <si>
    <t>watering</t>
  </si>
  <si>
    <t>tomatoes</t>
  </si>
  <si>
    <t>seedlings</t>
  </si>
  <si>
    <t>garlic</t>
  </si>
  <si>
    <t>sunchokes</t>
  </si>
  <si>
    <t>Row Labels</t>
  </si>
  <si>
    <t>Grand Total</t>
  </si>
  <si>
    <t>Sum of count</t>
  </si>
  <si>
    <t>Weekly Observations:</t>
  </si>
  <si>
    <t>Planting is the dominant activity</t>
  </si>
  <si>
    <t>Watering is consistent but secondary</t>
  </si>
  <si>
    <t xml:space="preserve"> Some categories have low or no activity</t>
  </si>
  <si>
    <t>Column Labels</t>
  </si>
  <si>
    <t>🐉 COSMIC GARDEN COMMAND CENTER 🐉</t>
  </si>
  <si>
    <t>✦ Interstellar Activity Tracking System ✦</t>
  </si>
  <si>
    <t>🌟 ACTIVITY</t>
  </si>
  <si>
    <t>📊 COUNT</t>
  </si>
  <si>
    <t>⚡ STATUS</t>
  </si>
  <si>
    <t>🚀 MISSION STATISTICS</t>
  </si>
  <si>
    <t>Total Activities:</t>
  </si>
  <si>
    <t>Categories Tracked:</t>
  </si>
  <si>
    <t>Top Activity:</t>
  </si>
  <si>
    <t>Mission Date:</t>
  </si>
  <si>
    <t>━━━ 🐉 Powered by Dragon Force Technology 🐉 ━━━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</si>
</sst>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28"/>
      <color rgb="FF00FFFF"/>
      <name val="Aptos Narrow"/>
      <family val="2"/>
      <scheme val="minor"/>
    </font>
    <font>
      <i/>
      <sz val="14"/>
      <color rgb="FFFF66FF"/>
      <name val="Aptos Narrow"/>
      <family val="2"/>
      <scheme val="minor"/>
    </font>
    <font>
      <b/>
      <sz val="12"/>
      <color rgb="FFFFCC00"/>
      <name val="Aptos Narrow"/>
      <family val="2"/>
      <scheme val="minor"/>
    </font>
    <font>
      <sz val="11"/>
      <color rgb="FFE0E0FF"/>
      <name val="Aptos Narrow"/>
      <family val="2"/>
      <scheme val="minor"/>
    </font>
    <font>
      <b/>
      <sz val="14"/>
      <color rgb="FF00FF88"/>
      <name val="Aptos Narrow"/>
      <family val="2"/>
      <scheme val="minor"/>
    </font>
    <font>
      <sz val="11"/>
      <color rgb="FFFFFFFF"/>
      <name val="Aptos Narrow"/>
      <family val="2"/>
      <scheme val="minor"/>
    </font>
    <font>
      <i/>
      <sz val="10"/>
      <color rgb="FF666699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  <bgColor indexed="64"/>
      </patternFill>
    </fill>
    <fill>
      <patternFill patternType="solid">
        <fgColor rgb="FFEAF2E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0A0A1A"/>
        <bgColor indexed="64"/>
      </patternFill>
    </fill>
    <fill>
      <patternFill patternType="solid">
        <fgColor rgb="FF1A0033"/>
        <bgColor indexed="64"/>
      </patternFill>
    </fill>
    <fill>
      <patternFill patternType="solid">
        <fgColor rgb="FF0D0D2B"/>
        <bgColor indexed="64"/>
      </patternFill>
    </fill>
    <fill>
      <patternFill patternType="solid">
        <fgColor rgb="FF1A1A3A"/>
        <bgColor indexed="64"/>
      </patternFill>
    </fill>
    <fill>
      <patternFill patternType="solid">
        <fgColor rgb="FF0F0F2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0" fontId="18" fillId="34" borderId="10" xfId="0" applyFont="1" applyFill="1" applyBorder="1" applyAlignment="1">
      <alignment horizontal="left"/>
    </xf>
    <xf numFmtId="1" fontId="0" fillId="0" borderId="10" xfId="0" applyNumberFormat="1" applyBorder="1" applyAlignment="1">
      <alignment horizontal="center"/>
    </xf>
    <xf numFmtId="1" fontId="18" fillId="34" borderId="10" xfId="0" applyNumberFormat="1" applyFont="1" applyFill="1" applyBorder="1" applyAlignment="1">
      <alignment horizontal="center"/>
    </xf>
    <xf numFmtId="0" fontId="18" fillId="35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36" borderId="0" xfId="0" applyFill="1"/>
    <xf numFmtId="0" fontId="20" fillId="36" borderId="0" xfId="0" applyFont="1" applyFill="1" applyAlignment="1">
      <alignment horizontal="center"/>
    </xf>
    <xf numFmtId="0" fontId="21" fillId="37" borderId="11" xfId="0" applyFont="1" applyFill="1" applyBorder="1"/>
    <xf numFmtId="0" fontId="22" fillId="38" borderId="0" xfId="0" applyFont="1" applyFill="1"/>
    <xf numFmtId="0" fontId="22" fillId="39" borderId="0" xfId="0" applyFont="1" applyFill="1"/>
    <xf numFmtId="0" fontId="23" fillId="40" borderId="0" xfId="0" applyFont="1" applyFill="1"/>
    <xf numFmtId="0" fontId="0" fillId="40" borderId="0" xfId="0" applyFill="1"/>
    <xf numFmtId="0" fontId="24" fillId="40" borderId="0" xfId="0" applyFont="1" applyFill="1"/>
    <xf numFmtId="164" fontId="24" fillId="40" borderId="0" xfId="0" applyNumberFormat="1" applyFont="1" applyFill="1"/>
    <xf numFmtId="0" fontId="0" fillId="36" borderId="0" xfId="0" applyFill="1" applyAlignment="1">
      <alignment horizontal="left"/>
    </xf>
    <xf numFmtId="0" fontId="19" fillId="36" borderId="0" xfId="0" applyFont="1" applyFill="1" applyAlignment="1">
      <alignment horizontal="left" vertical="center"/>
    </xf>
    <xf numFmtId="0" fontId="25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alignment horizontal="center"/>
    </dxf>
    <dxf>
      <alignment horizontal="left"/>
    </dxf>
    <dxf>
      <font>
        <color rgb="FF1F1F1F"/>
      </font>
    </dxf>
    <dxf>
      <font>
        <color rgb="FF1F1F1F"/>
      </font>
    </dxf>
    <dxf>
      <font>
        <b/>
      </font>
    </dxf>
    <dxf>
      <font>
        <b/>
      </font>
    </dxf>
    <dxf>
      <fill>
        <patternFill patternType="solid">
          <fgColor indexed="64"/>
          <bgColor rgb="FFEAF2E3"/>
        </patternFill>
      </fill>
    </dxf>
    <dxf>
      <fill>
        <patternFill patternType="solid">
          <fgColor indexed="64"/>
          <bgColor rgb="FFEAF2E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1F1F1F"/>
      </font>
    </dxf>
    <dxf>
      <font>
        <color rgb="FF1F1F1F"/>
      </font>
    </dxf>
    <dxf>
      <font>
        <color rgb="FF1F1F1F"/>
      </font>
    </dxf>
    <dxf>
      <font>
        <color rgb="FF1F1F1F"/>
      </font>
    </dxf>
    <dxf>
      <font>
        <color rgb="FF1F1F1F"/>
      </font>
    </dxf>
    <dxf>
      <font>
        <color rgb="FF1F1F1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fill>
        <patternFill patternType="solid">
          <fgColor indexed="64"/>
          <bgColor rgb="FFD9EAF7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[farm_weekly_data.xlsx]Sheet1!PivotTable1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Garden Activity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4/25/2026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Sheet1!$A$5:$A$13</c:f>
              <c:strCache>
                <c:ptCount val="8"/>
                <c:pt idx="0">
                  <c:v>beans</c:v>
                </c:pt>
                <c:pt idx="1">
                  <c:v>garlic</c:v>
                </c:pt>
                <c:pt idx="2">
                  <c:v>irrigation</c:v>
                </c:pt>
                <c:pt idx="3">
                  <c:v>planting</c:v>
                </c:pt>
                <c:pt idx="4">
                  <c:v>seedlings</c:v>
                </c:pt>
                <c:pt idx="5">
                  <c:v>sunchokes</c:v>
                </c:pt>
                <c:pt idx="6">
                  <c:v>tomatoes</c:v>
                </c:pt>
                <c:pt idx="7">
                  <c:v>watering</c:v>
                </c:pt>
              </c:strCache>
            </c:strRef>
          </c:cat>
          <c:val>
            <c:numRef>
              <c:f>Sheet1!$B$5:$B$13</c:f>
              <c:numCache>
                <c:formatCode>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C-43DA-BAEE-2699DA015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108511"/>
        <c:axId val="1510106111"/>
      </c:barChart>
      <c:catAx>
        <c:axId val="151010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06111"/>
        <c:crosses val="autoZero"/>
        <c:auto val="1"/>
        <c:lblAlgn val="ctr"/>
        <c:lblOffset val="100"/>
        <c:noMultiLvlLbl val="0"/>
      </c:catAx>
      <c:valAx>
        <c:axId val="151010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0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weekly_data!$C$1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weekly_data!$A$2:$B$9</c:f>
              <c:multiLvlStrCache>
                <c:ptCount val="8"/>
                <c:lvl>
                  <c:pt idx="0">
                    <c:v>planting</c:v>
                  </c:pt>
                  <c:pt idx="1">
                    <c:v>beans</c:v>
                  </c:pt>
                  <c:pt idx="2">
                    <c:v>irrigation</c:v>
                  </c:pt>
                  <c:pt idx="3">
                    <c:v>watering</c:v>
                  </c:pt>
                  <c:pt idx="4">
                    <c:v>tomatoes</c:v>
                  </c:pt>
                  <c:pt idx="5">
                    <c:v>seedlings</c:v>
                  </c:pt>
                  <c:pt idx="6">
                    <c:v>garlic</c:v>
                  </c:pt>
                  <c:pt idx="7">
                    <c:v>sunchokes</c:v>
                  </c:pt>
                </c:lvl>
                <c:lvl>
                  <c:pt idx="0">
                    <c:v>4/25/2026</c:v>
                  </c:pt>
                  <c:pt idx="1">
                    <c:v>4/25/2026</c:v>
                  </c:pt>
                  <c:pt idx="2">
                    <c:v>4/25/2026</c:v>
                  </c:pt>
                  <c:pt idx="3">
                    <c:v>4/25/2026</c:v>
                  </c:pt>
                  <c:pt idx="4">
                    <c:v>4/25/2026</c:v>
                  </c:pt>
                  <c:pt idx="5">
                    <c:v>4/25/2026</c:v>
                  </c:pt>
                  <c:pt idx="6">
                    <c:v>4/25/2026</c:v>
                  </c:pt>
                  <c:pt idx="7">
                    <c:v>4/25/2026</c:v>
                  </c:pt>
                </c:lvl>
              </c:multiLvlStrCache>
            </c:multiLvlStrRef>
          </c:cat>
          <c:val>
            <c:numRef>
              <c:f>weekly_data!$C$2:$C$9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0-481B-9FB2-732268715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403631"/>
        <c:axId val="297387311"/>
      </c:barChart>
      <c:catAx>
        <c:axId val="29740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87311"/>
        <c:crosses val="autoZero"/>
        <c:auto val="1"/>
        <c:lblAlgn val="ctr"/>
        <c:lblOffset val="100"/>
        <c:noMultiLvlLbl val="0"/>
      </c:catAx>
      <c:valAx>
        <c:axId val="2973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0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130230044773823E-2"/>
          <c:y val="0.18752671395951667"/>
          <c:w val="0.9137288568095655"/>
          <c:h val="0.7376546068996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weekly_data!$C$1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weekly_data!$B$2:$B$9</c:f>
              <c:strCache>
                <c:ptCount val="8"/>
                <c:pt idx="0">
                  <c:v>planting</c:v>
                </c:pt>
                <c:pt idx="1">
                  <c:v>beans</c:v>
                </c:pt>
                <c:pt idx="2">
                  <c:v>irrigation</c:v>
                </c:pt>
                <c:pt idx="3">
                  <c:v>watering</c:v>
                </c:pt>
                <c:pt idx="4">
                  <c:v>tomatoes</c:v>
                </c:pt>
                <c:pt idx="5">
                  <c:v>seedlings</c:v>
                </c:pt>
                <c:pt idx="6">
                  <c:v>garlic</c:v>
                </c:pt>
                <c:pt idx="7">
                  <c:v>sunchokes</c:v>
                </c:pt>
              </c:strCache>
            </c:strRef>
          </c:cat>
          <c:val>
            <c:numRef>
              <c:f>weekly_data!$C$2:$C$9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1-4773-BD91-3BED9E7E9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7386351"/>
        <c:axId val="297394991"/>
      </c:barChart>
      <c:catAx>
        <c:axId val="2973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94991"/>
        <c:crosses val="autoZero"/>
        <c:auto val="1"/>
        <c:lblAlgn val="ctr"/>
        <c:lblOffset val="100"/>
        <c:noMultiLvlLbl val="0"/>
      </c:catAx>
      <c:valAx>
        <c:axId val="2973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8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Garden Activity Summary - April 25,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weekly_data!$C$1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weekly_data!$B$2:$B$9</c:f>
              <c:strCache>
                <c:ptCount val="8"/>
                <c:pt idx="0">
                  <c:v>planting</c:v>
                </c:pt>
                <c:pt idx="1">
                  <c:v>beans</c:v>
                </c:pt>
                <c:pt idx="2">
                  <c:v>irrigation</c:v>
                </c:pt>
                <c:pt idx="3">
                  <c:v>watering</c:v>
                </c:pt>
                <c:pt idx="4">
                  <c:v>tomatoes</c:v>
                </c:pt>
                <c:pt idx="5">
                  <c:v>seedlings</c:v>
                </c:pt>
                <c:pt idx="6">
                  <c:v>garlic</c:v>
                </c:pt>
                <c:pt idx="7">
                  <c:v>sunchokes</c:v>
                </c:pt>
              </c:strCache>
            </c:strRef>
          </c:cat>
          <c:val>
            <c:numRef>
              <c:f>weekly_data!$C$2:$C$9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8-46F4-9711-2E2B12C35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7386831"/>
        <c:axId val="297384431"/>
      </c:barChart>
      <c:catAx>
        <c:axId val="29738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84431"/>
        <c:crosses val="autoZero"/>
        <c:auto val="1"/>
        <c:lblAlgn val="ctr"/>
        <c:lblOffset val="100"/>
        <c:noMultiLvlLbl val="0"/>
      </c:catAx>
      <c:valAx>
        <c:axId val="297384431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⭐ GALACTIC ACTIVITY SCANNER 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33FF"/>
            </a:solidFill>
            <a:ln>
              <a:noFill/>
            </a:ln>
            <a:effectLst/>
          </c:spPr>
          <c:invertIfNegative val="0"/>
          <c:cat>
            <c:strRef>
              <c:f>SpaceDashboard!$B$5:$B$12</c:f>
              <c:strCache>
                <c:ptCount val="8"/>
                <c:pt idx="0">
                  <c:v>planting</c:v>
                </c:pt>
                <c:pt idx="1">
                  <c:v>beans</c:v>
                </c:pt>
                <c:pt idx="2">
                  <c:v>irrigation</c:v>
                </c:pt>
                <c:pt idx="3">
                  <c:v>watering</c:v>
                </c:pt>
                <c:pt idx="4">
                  <c:v>tomatoes</c:v>
                </c:pt>
                <c:pt idx="5">
                  <c:v>seedlings</c:v>
                </c:pt>
                <c:pt idx="6">
                  <c:v>garlic</c:v>
                </c:pt>
                <c:pt idx="7">
                  <c:v>sunchokes</c:v>
                </c:pt>
              </c:strCache>
            </c:strRef>
          </c:cat>
          <c:val>
            <c:numRef>
              <c:f>SpaceDashboard!$C$5:$C$12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B-4C80-9808-65AB6B6B9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361264"/>
        <c:axId val="653361744"/>
      </c:barChart>
      <c:catAx>
        <c:axId val="6533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3336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66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61744"/>
        <c:crosses val="autoZero"/>
        <c:auto val="1"/>
        <c:lblAlgn val="ctr"/>
        <c:lblOffset val="100"/>
        <c:noMultiLvlLbl val="0"/>
      </c:catAx>
      <c:valAx>
        <c:axId val="6533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33366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61264"/>
        <c:crosses val="autoZero"/>
        <c:crossBetween val="between"/>
      </c:valAx>
      <c:spPr>
        <a:solidFill>
          <a:srgbClr val="0D0D2B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0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FF66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🌌 NEBULA DISTRIBUTION 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FF66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SpaceDashboard!$B$5:$B$12</c:f>
              <c:strCache>
                <c:ptCount val="8"/>
                <c:pt idx="0">
                  <c:v>planting</c:v>
                </c:pt>
                <c:pt idx="1">
                  <c:v>beans</c:v>
                </c:pt>
                <c:pt idx="2">
                  <c:v>irrigation</c:v>
                </c:pt>
                <c:pt idx="3">
                  <c:v>watering</c:v>
                </c:pt>
                <c:pt idx="4">
                  <c:v>tomatoes</c:v>
                </c:pt>
                <c:pt idx="5">
                  <c:v>seedlings</c:v>
                </c:pt>
                <c:pt idx="6">
                  <c:v>garlic</c:v>
                </c:pt>
                <c:pt idx="7">
                  <c:v>sunchokes</c:v>
                </c:pt>
              </c:strCache>
            </c:strRef>
          </c:cat>
          <c:val>
            <c:numRef>
              <c:f>SpaceDashboard!$C$5:$C$12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B-429B-83AB-B9AE34430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A0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598487</xdr:colOff>
      <xdr:row>2</xdr:row>
      <xdr:rowOff>146050</xdr:rowOff>
    </xdr:from>
    <xdr:to>
      <xdr:col>15</xdr:col>
      <xdr:colOff>103187</xdr:colOff>
      <xdr:row>17</xdr:row>
      <xdr:rowOff>244475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6BFE2-1333-D5CE-1187-529CCB3C5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176212</xdr:rowOff>
    </xdr:from>
    <xdr:to>
      <xdr:col>7</xdr:col>
      <xdr:colOff>76200</xdr:colOff>
      <xdr:row>34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1BE60-8BE5-E904-2D7B-BE15BB0CE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280987</xdr:colOff>
      <xdr:row>34</xdr:row>
      <xdr:rowOff>14288</xdr:rowOff>
    </xdr:from>
    <xdr:to>
      <xdr:col>8</xdr:col>
      <xdr:colOff>214312</xdr:colOff>
      <xdr:row>51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2A0CD-249C-570D-785F-CC5CDE981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4" name="Activity Summary Chart">
          <a:extLst>
            <a:ext uri="{FF2B5EF4-FFF2-40B4-BE49-F238E27FC236}">
              <a16:creationId xmlns:a16="http://schemas.microsoft.com/office/drawing/2014/main" id="{010FEB2A-8861-32B8-585F-1C9DAB216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490536</xdr:colOff>
      <xdr:row>0</xdr:row>
      <xdr:rowOff>0</xdr:rowOff>
    </xdr:from>
    <xdr:to>
      <xdr:col>22</xdr:col>
      <xdr:colOff>115211</xdr:colOff>
      <xdr:row>43</xdr:row>
      <xdr:rowOff>9525</xdr:rowOff>
    </xdr:to>
    <xdr:pic>
      <xdr:nvPicPr>
        <xdr:cNvPr id="2" name="Picture 1" title="Space Farm Dashboard">
          <a:extLst>
            <a:ext uri="{FF2B5EF4-FFF2-40B4-BE49-F238E27FC236}">
              <a16:creationId xmlns:a16="http://schemas.microsoft.com/office/drawing/2014/main" id="{30D844C9-6CA6-E012-BA46-31B4CFDF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536" y="0"/>
          <a:ext cx="13874075" cy="7791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254000</xdr:rowOff>
    </xdr:from>
    <xdr:to>
      <xdr:col>0</xdr:col>
      <xdr:colOff>177800</xdr:colOff>
      <xdr:row>0</xdr:row>
      <xdr:rowOff>304800</xdr:rowOff>
    </xdr:to>
    <xdr:sp macro="" textlink="">
      <xdr:nvSpPr>
        <xdr:cNvPr id="2" name="Star1">
          <a:extLst>
            <a:ext uri="{FF2B5EF4-FFF2-40B4-BE49-F238E27FC236}">
              <a16:creationId xmlns:a16="http://schemas.microsoft.com/office/drawing/2014/main" id="{336D01C9-2D7B-4DF8-811B-DE415A0A72F8}"/>
            </a:ext>
          </a:extLst>
        </xdr:cNvPr>
        <xdr:cNvSpPr/>
      </xdr:nvSpPr>
      <xdr:spPr>
        <a:xfrm>
          <a:off x="127000" y="254000"/>
          <a:ext cx="50800" cy="50800"/>
        </a:xfrm>
        <a:prstGeom prst="diamond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382587</xdr:colOff>
      <xdr:row>1</xdr:row>
      <xdr:rowOff>254000</xdr:rowOff>
    </xdr:from>
    <xdr:to>
      <xdr:col>1</xdr:col>
      <xdr:colOff>458787</xdr:colOff>
      <xdr:row>1</xdr:row>
      <xdr:rowOff>330200</xdr:rowOff>
    </xdr:to>
    <xdr:sp macro="" textlink="">
      <xdr:nvSpPr>
        <xdr:cNvPr id="3" name="Star2">
          <a:extLst>
            <a:ext uri="{FF2B5EF4-FFF2-40B4-BE49-F238E27FC236}">
              <a16:creationId xmlns:a16="http://schemas.microsoft.com/office/drawing/2014/main" id="{7AA0E70A-3492-40E1-9C53-1085A6207459}"/>
            </a:ext>
          </a:extLst>
        </xdr:cNvPr>
        <xdr:cNvSpPr/>
      </xdr:nvSpPr>
      <xdr:spPr>
        <a:xfrm>
          <a:off x="635000" y="1016000"/>
          <a:ext cx="76200" cy="76200"/>
        </a:xfrm>
        <a:prstGeom prst="diamond">
          <a:avLst/>
        </a:prstGeom>
        <a:solidFill>
          <a:srgbClr val="FFFF99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381000</xdr:colOff>
      <xdr:row>0</xdr:row>
      <xdr:rowOff>381000</xdr:rowOff>
    </xdr:from>
    <xdr:to>
      <xdr:col>2</xdr:col>
      <xdr:colOff>482600</xdr:colOff>
      <xdr:row>0</xdr:row>
      <xdr:rowOff>482600</xdr:rowOff>
    </xdr:to>
    <xdr:sp macro="" textlink="">
      <xdr:nvSpPr>
        <xdr:cNvPr id="4" name="Star3">
          <a:extLst>
            <a:ext uri="{FF2B5EF4-FFF2-40B4-BE49-F238E27FC236}">
              <a16:creationId xmlns:a16="http://schemas.microsoft.com/office/drawing/2014/main" id="{E1333672-0CAD-4C7F-B1AD-EE1D78E68734}"/>
            </a:ext>
          </a:extLst>
        </xdr:cNvPr>
        <xdr:cNvSpPr/>
      </xdr:nvSpPr>
      <xdr:spPr>
        <a:xfrm>
          <a:off x="1905000" y="381000"/>
          <a:ext cx="101600" cy="101600"/>
        </a:xfrm>
        <a:prstGeom prst="diamond">
          <a:avLst/>
        </a:prstGeom>
        <a:solidFill>
          <a:srgbClr val="99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636587</xdr:colOff>
      <xdr:row>2</xdr:row>
      <xdr:rowOff>127000</xdr:rowOff>
    </xdr:from>
    <xdr:to>
      <xdr:col>3</xdr:col>
      <xdr:colOff>763587</xdr:colOff>
      <xdr:row>2</xdr:row>
      <xdr:rowOff>254000</xdr:rowOff>
    </xdr:to>
    <xdr:sp macro="" textlink="">
      <xdr:nvSpPr>
        <xdr:cNvPr id="5" name="Star4">
          <a:extLst>
            <a:ext uri="{FF2B5EF4-FFF2-40B4-BE49-F238E27FC236}">
              <a16:creationId xmlns:a16="http://schemas.microsoft.com/office/drawing/2014/main" id="{79E72DA7-1A4A-47CE-BC29-F698FAE5FDCF}"/>
            </a:ext>
          </a:extLst>
        </xdr:cNvPr>
        <xdr:cNvSpPr/>
      </xdr:nvSpPr>
      <xdr:spPr>
        <a:xfrm>
          <a:off x="3175000" y="1270000"/>
          <a:ext cx="127000" cy="127000"/>
        </a:xfrm>
        <a:prstGeom prst="diamond">
          <a:avLst/>
        </a:prstGeom>
        <a:solidFill>
          <a:srgbClr val="FF99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131762</xdr:colOff>
      <xdr:row>0</xdr:row>
      <xdr:rowOff>317500</xdr:rowOff>
    </xdr:from>
    <xdr:to>
      <xdr:col>6</xdr:col>
      <xdr:colOff>182562</xdr:colOff>
      <xdr:row>0</xdr:row>
      <xdr:rowOff>368300</xdr:rowOff>
    </xdr:to>
    <xdr:sp macro="" textlink="">
      <xdr:nvSpPr>
        <xdr:cNvPr id="6" name="Star5">
          <a:extLst>
            <a:ext uri="{FF2B5EF4-FFF2-40B4-BE49-F238E27FC236}">
              <a16:creationId xmlns:a16="http://schemas.microsoft.com/office/drawing/2014/main" id="{2D0A22F8-F907-4C31-9168-30B1ACED1470}"/>
            </a:ext>
          </a:extLst>
        </xdr:cNvPr>
        <xdr:cNvSpPr/>
      </xdr:nvSpPr>
      <xdr:spPr>
        <a:xfrm>
          <a:off x="5080000" y="317500"/>
          <a:ext cx="50800" cy="50800"/>
        </a:xfrm>
        <a:prstGeom prst="diamond">
          <a:avLst/>
        </a:prstGeom>
        <a:solidFill>
          <a:srgbClr val="FFCC6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258762</xdr:colOff>
      <xdr:row>1</xdr:row>
      <xdr:rowOff>127000</xdr:rowOff>
    </xdr:from>
    <xdr:to>
      <xdr:col>9</xdr:col>
      <xdr:colOff>334962</xdr:colOff>
      <xdr:row>1</xdr:row>
      <xdr:rowOff>203200</xdr:rowOff>
    </xdr:to>
    <xdr:sp macro="" textlink="">
      <xdr:nvSpPr>
        <xdr:cNvPr id="7" name="Star6">
          <a:extLst>
            <a:ext uri="{FF2B5EF4-FFF2-40B4-BE49-F238E27FC236}">
              <a16:creationId xmlns:a16="http://schemas.microsoft.com/office/drawing/2014/main" id="{91084CB5-A9EB-497C-9FFF-014EB767A2C3}"/>
            </a:ext>
          </a:extLst>
        </xdr:cNvPr>
        <xdr:cNvSpPr/>
      </xdr:nvSpPr>
      <xdr:spPr>
        <a:xfrm>
          <a:off x="6350000" y="889000"/>
          <a:ext cx="76200" cy="76200"/>
        </a:xfrm>
        <a:prstGeom prst="diamond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4762</xdr:colOff>
      <xdr:row>0</xdr:row>
      <xdr:rowOff>508000</xdr:rowOff>
    </xdr:from>
    <xdr:to>
      <xdr:col>13</xdr:col>
      <xdr:colOff>106362</xdr:colOff>
      <xdr:row>0</xdr:row>
      <xdr:rowOff>609600</xdr:rowOff>
    </xdr:to>
    <xdr:sp macro="" textlink="">
      <xdr:nvSpPr>
        <xdr:cNvPr id="8" name="Star7">
          <a:extLst>
            <a:ext uri="{FF2B5EF4-FFF2-40B4-BE49-F238E27FC236}">
              <a16:creationId xmlns:a16="http://schemas.microsoft.com/office/drawing/2014/main" id="{08C838FF-D687-4A2B-9054-A64B7E626E63}"/>
            </a:ext>
          </a:extLst>
        </xdr:cNvPr>
        <xdr:cNvSpPr/>
      </xdr:nvSpPr>
      <xdr:spPr>
        <a:xfrm>
          <a:off x="7620000" y="508000"/>
          <a:ext cx="101600" cy="101600"/>
        </a:xfrm>
        <a:prstGeom prst="diamond">
          <a:avLst/>
        </a:prstGeom>
        <a:solidFill>
          <a:srgbClr val="FFFF99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131762</xdr:colOff>
      <xdr:row>2</xdr:row>
      <xdr:rowOff>0</xdr:rowOff>
    </xdr:from>
    <xdr:to>
      <xdr:col>16</xdr:col>
      <xdr:colOff>258762</xdr:colOff>
      <xdr:row>2</xdr:row>
      <xdr:rowOff>127000</xdr:rowOff>
    </xdr:to>
    <xdr:sp macro="" textlink="">
      <xdr:nvSpPr>
        <xdr:cNvPr id="9" name="Star8">
          <a:extLst>
            <a:ext uri="{FF2B5EF4-FFF2-40B4-BE49-F238E27FC236}">
              <a16:creationId xmlns:a16="http://schemas.microsoft.com/office/drawing/2014/main" id="{3792EC93-10F9-4ECF-BFC2-10E4A88DED0C}"/>
            </a:ext>
          </a:extLst>
        </xdr:cNvPr>
        <xdr:cNvSpPr/>
      </xdr:nvSpPr>
      <xdr:spPr>
        <a:xfrm>
          <a:off x="8890000" y="1143000"/>
          <a:ext cx="127000" cy="127000"/>
        </a:xfrm>
        <a:prstGeom prst="diamond">
          <a:avLst/>
        </a:prstGeom>
        <a:solidFill>
          <a:srgbClr val="99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128587</xdr:colOff>
      <xdr:row>7</xdr:row>
      <xdr:rowOff>15875</xdr:rowOff>
    </xdr:from>
    <xdr:to>
      <xdr:col>1</xdr:col>
      <xdr:colOff>179387</xdr:colOff>
      <xdr:row>7</xdr:row>
      <xdr:rowOff>66675</xdr:rowOff>
    </xdr:to>
    <xdr:sp macro="" textlink="">
      <xdr:nvSpPr>
        <xdr:cNvPr id="10" name="Star9">
          <a:extLst>
            <a:ext uri="{FF2B5EF4-FFF2-40B4-BE49-F238E27FC236}">
              <a16:creationId xmlns:a16="http://schemas.microsoft.com/office/drawing/2014/main" id="{F81633C8-F870-481F-B7D8-D4FFFF68A252}"/>
            </a:ext>
          </a:extLst>
        </xdr:cNvPr>
        <xdr:cNvSpPr/>
      </xdr:nvSpPr>
      <xdr:spPr>
        <a:xfrm>
          <a:off x="381000" y="2540000"/>
          <a:ext cx="50800" cy="50800"/>
        </a:xfrm>
        <a:prstGeom prst="diamond">
          <a:avLst/>
        </a:prstGeom>
        <a:solidFill>
          <a:srgbClr val="FF99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0</xdr:colOff>
      <xdr:row>10</xdr:row>
      <xdr:rowOff>203200</xdr:rowOff>
    </xdr:from>
    <xdr:to>
      <xdr:col>2</xdr:col>
      <xdr:colOff>76200</xdr:colOff>
      <xdr:row>11</xdr:row>
      <xdr:rowOff>3175</xdr:rowOff>
    </xdr:to>
    <xdr:sp macro="" textlink="">
      <xdr:nvSpPr>
        <xdr:cNvPr id="11" name="Star10">
          <a:extLst>
            <a:ext uri="{FF2B5EF4-FFF2-40B4-BE49-F238E27FC236}">
              <a16:creationId xmlns:a16="http://schemas.microsoft.com/office/drawing/2014/main" id="{F7976384-6AFD-4A44-897D-2B12A0A9A27A}"/>
            </a:ext>
          </a:extLst>
        </xdr:cNvPr>
        <xdr:cNvSpPr/>
      </xdr:nvSpPr>
      <xdr:spPr>
        <a:xfrm>
          <a:off x="1524000" y="3556000"/>
          <a:ext cx="76200" cy="76200"/>
        </a:xfrm>
        <a:prstGeom prst="diamond">
          <a:avLst/>
        </a:prstGeom>
        <a:solidFill>
          <a:srgbClr val="FFCC6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131762</xdr:colOff>
      <xdr:row>6</xdr:row>
      <xdr:rowOff>38100</xdr:rowOff>
    </xdr:from>
    <xdr:to>
      <xdr:col>11</xdr:col>
      <xdr:colOff>233362</xdr:colOff>
      <xdr:row>6</xdr:row>
      <xdr:rowOff>139700</xdr:rowOff>
    </xdr:to>
    <xdr:sp macro="" textlink="">
      <xdr:nvSpPr>
        <xdr:cNvPr id="12" name="Star11">
          <a:extLst>
            <a:ext uri="{FF2B5EF4-FFF2-40B4-BE49-F238E27FC236}">
              <a16:creationId xmlns:a16="http://schemas.microsoft.com/office/drawing/2014/main" id="{E5AD9CA5-5CC6-4337-968E-8FA5C1970A4C}"/>
            </a:ext>
          </a:extLst>
        </xdr:cNvPr>
        <xdr:cNvSpPr/>
      </xdr:nvSpPr>
      <xdr:spPr>
        <a:xfrm>
          <a:off x="6985000" y="2286000"/>
          <a:ext cx="101600" cy="101600"/>
        </a:xfrm>
        <a:prstGeom prst="diamond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258762</xdr:colOff>
      <xdr:row>9</xdr:row>
      <xdr:rowOff>98425</xdr:rowOff>
    </xdr:from>
    <xdr:to>
      <xdr:col>15</xdr:col>
      <xdr:colOff>4762</xdr:colOff>
      <xdr:row>9</xdr:row>
      <xdr:rowOff>225425</xdr:rowOff>
    </xdr:to>
    <xdr:sp macro="" textlink="">
      <xdr:nvSpPr>
        <xdr:cNvPr id="13" name="Star12">
          <a:extLst>
            <a:ext uri="{FF2B5EF4-FFF2-40B4-BE49-F238E27FC236}">
              <a16:creationId xmlns:a16="http://schemas.microsoft.com/office/drawing/2014/main" id="{F64CB3E7-F6D7-4A1A-BFCC-B806C2ADE818}"/>
            </a:ext>
          </a:extLst>
        </xdr:cNvPr>
        <xdr:cNvSpPr/>
      </xdr:nvSpPr>
      <xdr:spPr>
        <a:xfrm>
          <a:off x="8255000" y="3175000"/>
          <a:ext cx="127000" cy="127000"/>
        </a:xfrm>
        <a:prstGeom prst="diamond">
          <a:avLst/>
        </a:prstGeom>
        <a:solidFill>
          <a:srgbClr val="FFFF99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4762</xdr:colOff>
      <xdr:row>4</xdr:row>
      <xdr:rowOff>209550</xdr:rowOff>
    </xdr:from>
    <xdr:to>
      <xdr:col>18</xdr:col>
      <xdr:colOff>55562</xdr:colOff>
      <xdr:row>4</xdr:row>
      <xdr:rowOff>260350</xdr:rowOff>
    </xdr:to>
    <xdr:sp macro="" textlink="">
      <xdr:nvSpPr>
        <xdr:cNvPr id="14" name="Star13">
          <a:extLst>
            <a:ext uri="{FF2B5EF4-FFF2-40B4-BE49-F238E27FC236}">
              <a16:creationId xmlns:a16="http://schemas.microsoft.com/office/drawing/2014/main" id="{D0BE0CBD-C6D0-4193-9B3B-0CA0700E9E01}"/>
            </a:ext>
          </a:extLst>
        </xdr:cNvPr>
        <xdr:cNvSpPr/>
      </xdr:nvSpPr>
      <xdr:spPr>
        <a:xfrm>
          <a:off x="9525000" y="1905000"/>
          <a:ext cx="50800" cy="50800"/>
        </a:xfrm>
        <a:prstGeom prst="diamond">
          <a:avLst/>
        </a:prstGeom>
        <a:solidFill>
          <a:srgbClr val="99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892175</xdr:colOff>
      <xdr:row>12</xdr:row>
      <xdr:rowOff>158750</xdr:rowOff>
    </xdr:from>
    <xdr:to>
      <xdr:col>4</xdr:col>
      <xdr:colOff>968375</xdr:colOff>
      <xdr:row>12</xdr:row>
      <xdr:rowOff>234950</xdr:rowOff>
    </xdr:to>
    <xdr:sp macro="" textlink="">
      <xdr:nvSpPr>
        <xdr:cNvPr id="15" name="Star14">
          <a:extLst>
            <a:ext uri="{FF2B5EF4-FFF2-40B4-BE49-F238E27FC236}">
              <a16:creationId xmlns:a16="http://schemas.microsoft.com/office/drawing/2014/main" id="{C3F7E178-0C45-4D73-9FB8-04CC3527B24F}"/>
            </a:ext>
          </a:extLst>
        </xdr:cNvPr>
        <xdr:cNvSpPr/>
      </xdr:nvSpPr>
      <xdr:spPr>
        <a:xfrm>
          <a:off x="4445000" y="4064000"/>
          <a:ext cx="76200" cy="76200"/>
        </a:xfrm>
        <a:prstGeom prst="diamond">
          <a:avLst/>
        </a:prstGeom>
        <a:solidFill>
          <a:srgbClr val="FF99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4762</xdr:colOff>
      <xdr:row>15</xdr:row>
      <xdr:rowOff>92075</xdr:rowOff>
    </xdr:from>
    <xdr:to>
      <xdr:col>8</xdr:col>
      <xdr:colOff>106362</xdr:colOff>
      <xdr:row>15</xdr:row>
      <xdr:rowOff>193675</xdr:rowOff>
    </xdr:to>
    <xdr:sp macro="" textlink="">
      <xdr:nvSpPr>
        <xdr:cNvPr id="16" name="Star15">
          <a:extLst>
            <a:ext uri="{FF2B5EF4-FFF2-40B4-BE49-F238E27FC236}">
              <a16:creationId xmlns:a16="http://schemas.microsoft.com/office/drawing/2014/main" id="{C6BBA1B7-95AE-46EA-933B-CA2C02C9A3A1}"/>
            </a:ext>
          </a:extLst>
        </xdr:cNvPr>
        <xdr:cNvSpPr/>
      </xdr:nvSpPr>
      <xdr:spPr>
        <a:xfrm>
          <a:off x="5715000" y="4826000"/>
          <a:ext cx="101600" cy="101600"/>
        </a:xfrm>
        <a:prstGeom prst="diamond">
          <a:avLst/>
        </a:prstGeom>
        <a:solidFill>
          <a:srgbClr val="FFCC6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763587</xdr:colOff>
      <xdr:row>16</xdr:row>
      <xdr:rowOff>69850</xdr:rowOff>
    </xdr:from>
    <xdr:to>
      <xdr:col>1</xdr:col>
      <xdr:colOff>890587</xdr:colOff>
      <xdr:row>16</xdr:row>
      <xdr:rowOff>196850</xdr:rowOff>
    </xdr:to>
    <xdr:sp macro="" textlink="">
      <xdr:nvSpPr>
        <xdr:cNvPr id="17" name="Star16">
          <a:extLst>
            <a:ext uri="{FF2B5EF4-FFF2-40B4-BE49-F238E27FC236}">
              <a16:creationId xmlns:a16="http://schemas.microsoft.com/office/drawing/2014/main" id="{3D576523-B364-4EC1-9F40-B857CAF498F5}"/>
            </a:ext>
          </a:extLst>
        </xdr:cNvPr>
        <xdr:cNvSpPr/>
      </xdr:nvSpPr>
      <xdr:spPr>
        <a:xfrm>
          <a:off x="1016000" y="5080000"/>
          <a:ext cx="127000" cy="127000"/>
        </a:xfrm>
        <a:prstGeom prst="diamond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1587</xdr:colOff>
      <xdr:row>18</xdr:row>
      <xdr:rowOff>152400</xdr:rowOff>
    </xdr:from>
    <xdr:to>
      <xdr:col>3</xdr:col>
      <xdr:colOff>52387</xdr:colOff>
      <xdr:row>18</xdr:row>
      <xdr:rowOff>203200</xdr:rowOff>
    </xdr:to>
    <xdr:sp macro="" textlink="">
      <xdr:nvSpPr>
        <xdr:cNvPr id="18" name="Star17">
          <a:extLst>
            <a:ext uri="{FF2B5EF4-FFF2-40B4-BE49-F238E27FC236}">
              <a16:creationId xmlns:a16="http://schemas.microsoft.com/office/drawing/2014/main" id="{ECD4E5C6-6A99-41F0-858D-CA80138D144D}"/>
            </a:ext>
          </a:extLst>
        </xdr:cNvPr>
        <xdr:cNvSpPr/>
      </xdr:nvSpPr>
      <xdr:spPr>
        <a:xfrm>
          <a:off x="2540000" y="5715000"/>
          <a:ext cx="50800" cy="50800"/>
        </a:xfrm>
        <a:prstGeom prst="diamond">
          <a:avLst/>
        </a:prstGeom>
        <a:solidFill>
          <a:srgbClr val="FFFF99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4762</xdr:colOff>
      <xdr:row>17</xdr:row>
      <xdr:rowOff>47625</xdr:rowOff>
    </xdr:from>
    <xdr:to>
      <xdr:col>13</xdr:col>
      <xdr:colOff>80962</xdr:colOff>
      <xdr:row>17</xdr:row>
      <xdr:rowOff>123825</xdr:rowOff>
    </xdr:to>
    <xdr:sp macro="" textlink="">
      <xdr:nvSpPr>
        <xdr:cNvPr id="19" name="Star18">
          <a:extLst>
            <a:ext uri="{FF2B5EF4-FFF2-40B4-BE49-F238E27FC236}">
              <a16:creationId xmlns:a16="http://schemas.microsoft.com/office/drawing/2014/main" id="{0DDB89F3-7B77-4F30-84F3-CE6ADFB8C3AA}"/>
            </a:ext>
          </a:extLst>
        </xdr:cNvPr>
        <xdr:cNvSpPr/>
      </xdr:nvSpPr>
      <xdr:spPr>
        <a:xfrm>
          <a:off x="7620000" y="5334000"/>
          <a:ext cx="76200" cy="76200"/>
        </a:xfrm>
        <a:prstGeom prst="diamond">
          <a:avLst/>
        </a:prstGeom>
        <a:solidFill>
          <a:srgbClr val="99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17</xdr:col>
      <xdr:colOff>4762</xdr:colOff>
      <xdr:row>13</xdr:row>
      <xdr:rowOff>263525</xdr:rowOff>
    </xdr:from>
    <xdr:to>
      <xdr:col>17</xdr:col>
      <xdr:colOff>106362</xdr:colOff>
      <xdr:row>14</xdr:row>
      <xdr:rowOff>88900</xdr:rowOff>
    </xdr:to>
    <xdr:sp macro="" textlink="">
      <xdr:nvSpPr>
        <xdr:cNvPr id="20" name="Star19">
          <a:extLst>
            <a:ext uri="{FF2B5EF4-FFF2-40B4-BE49-F238E27FC236}">
              <a16:creationId xmlns:a16="http://schemas.microsoft.com/office/drawing/2014/main" id="{8FAA3AA3-6F6C-47C2-817D-835683F8F52A}"/>
            </a:ext>
          </a:extLst>
        </xdr:cNvPr>
        <xdr:cNvSpPr/>
      </xdr:nvSpPr>
      <xdr:spPr>
        <a:xfrm>
          <a:off x="9144000" y="4445000"/>
          <a:ext cx="101600" cy="101600"/>
        </a:xfrm>
        <a:prstGeom prst="diamond">
          <a:avLst/>
        </a:prstGeom>
        <a:solidFill>
          <a:srgbClr val="FF99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762000</xdr:colOff>
      <xdr:row>4</xdr:row>
      <xdr:rowOff>209550</xdr:rowOff>
    </xdr:from>
    <xdr:to>
      <xdr:col>2</xdr:col>
      <xdr:colOff>889000</xdr:colOff>
      <xdr:row>5</xdr:row>
      <xdr:rowOff>60325</xdr:rowOff>
    </xdr:to>
    <xdr:sp macro="" textlink="">
      <xdr:nvSpPr>
        <xdr:cNvPr id="21" name="Star20">
          <a:extLst>
            <a:ext uri="{FF2B5EF4-FFF2-40B4-BE49-F238E27FC236}">
              <a16:creationId xmlns:a16="http://schemas.microsoft.com/office/drawing/2014/main" id="{6DB06C0B-3497-4F2E-BB83-1595AEA065FF}"/>
            </a:ext>
          </a:extLst>
        </xdr:cNvPr>
        <xdr:cNvSpPr/>
      </xdr:nvSpPr>
      <xdr:spPr>
        <a:xfrm>
          <a:off x="2286000" y="1905000"/>
          <a:ext cx="127000" cy="127000"/>
        </a:xfrm>
        <a:prstGeom prst="diamond">
          <a:avLst/>
        </a:prstGeom>
        <a:solidFill>
          <a:srgbClr val="FFCC6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131762</xdr:colOff>
      <xdr:row>11</xdr:row>
      <xdr:rowOff>180975</xdr:rowOff>
    </xdr:from>
    <xdr:to>
      <xdr:col>10</xdr:col>
      <xdr:colOff>182562</xdr:colOff>
      <xdr:row>11</xdr:row>
      <xdr:rowOff>231775</xdr:rowOff>
    </xdr:to>
    <xdr:sp macro="" textlink="">
      <xdr:nvSpPr>
        <xdr:cNvPr id="22" name="Star21">
          <a:extLst>
            <a:ext uri="{FF2B5EF4-FFF2-40B4-BE49-F238E27FC236}">
              <a16:creationId xmlns:a16="http://schemas.microsoft.com/office/drawing/2014/main" id="{30DD5C2A-B718-4519-A0DD-3054433B0A71}"/>
            </a:ext>
          </a:extLst>
        </xdr:cNvPr>
        <xdr:cNvSpPr/>
      </xdr:nvSpPr>
      <xdr:spPr>
        <a:xfrm>
          <a:off x="6604000" y="3810000"/>
          <a:ext cx="50800" cy="50800"/>
        </a:xfrm>
        <a:prstGeom prst="diamond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258762</xdr:colOff>
      <xdr:row>7</xdr:row>
      <xdr:rowOff>15875</xdr:rowOff>
    </xdr:from>
    <xdr:to>
      <xdr:col>5</xdr:col>
      <xdr:colOff>334962</xdr:colOff>
      <xdr:row>7</xdr:row>
      <xdr:rowOff>92075</xdr:rowOff>
    </xdr:to>
    <xdr:sp macro="" textlink="">
      <xdr:nvSpPr>
        <xdr:cNvPr id="23" name="Star22">
          <a:extLst>
            <a:ext uri="{FF2B5EF4-FFF2-40B4-BE49-F238E27FC236}">
              <a16:creationId xmlns:a16="http://schemas.microsoft.com/office/drawing/2014/main" id="{82DB4CEE-4444-4469-8F34-66AA399A5752}"/>
            </a:ext>
          </a:extLst>
        </xdr:cNvPr>
        <xdr:cNvSpPr/>
      </xdr:nvSpPr>
      <xdr:spPr>
        <a:xfrm>
          <a:off x="4826000" y="2540000"/>
          <a:ext cx="76200" cy="76200"/>
        </a:xfrm>
        <a:prstGeom prst="diamond">
          <a:avLst/>
        </a:prstGeom>
        <a:solidFill>
          <a:srgbClr val="FFFF99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3175</xdr:colOff>
      <xdr:row>15</xdr:row>
      <xdr:rowOff>92075</xdr:rowOff>
    </xdr:from>
    <xdr:to>
      <xdr:col>4</xdr:col>
      <xdr:colOff>104775</xdr:colOff>
      <xdr:row>15</xdr:row>
      <xdr:rowOff>193675</xdr:rowOff>
    </xdr:to>
    <xdr:sp macro="" textlink="">
      <xdr:nvSpPr>
        <xdr:cNvPr id="24" name="Star23">
          <a:extLst>
            <a:ext uri="{FF2B5EF4-FFF2-40B4-BE49-F238E27FC236}">
              <a16:creationId xmlns:a16="http://schemas.microsoft.com/office/drawing/2014/main" id="{8CA05DBA-6F0C-476C-9BE6-E60718B54C5A}"/>
            </a:ext>
          </a:extLst>
        </xdr:cNvPr>
        <xdr:cNvSpPr/>
      </xdr:nvSpPr>
      <xdr:spPr>
        <a:xfrm>
          <a:off x="3556000" y="4826000"/>
          <a:ext cx="101600" cy="101600"/>
        </a:xfrm>
        <a:prstGeom prst="diamond">
          <a:avLst/>
        </a:prstGeom>
        <a:solidFill>
          <a:srgbClr val="99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258762</xdr:colOff>
      <xdr:row>19</xdr:row>
      <xdr:rowOff>257175</xdr:rowOff>
    </xdr:from>
    <xdr:to>
      <xdr:col>16</xdr:col>
      <xdr:colOff>4762</xdr:colOff>
      <xdr:row>20</xdr:row>
      <xdr:rowOff>107950</xdr:rowOff>
    </xdr:to>
    <xdr:sp macro="" textlink="">
      <xdr:nvSpPr>
        <xdr:cNvPr id="25" name="Star24">
          <a:extLst>
            <a:ext uri="{FF2B5EF4-FFF2-40B4-BE49-F238E27FC236}">
              <a16:creationId xmlns:a16="http://schemas.microsoft.com/office/drawing/2014/main" id="{B536F5B0-ABEB-4083-807D-C0EC6BB3D543}"/>
            </a:ext>
          </a:extLst>
        </xdr:cNvPr>
        <xdr:cNvSpPr/>
      </xdr:nvSpPr>
      <xdr:spPr>
        <a:xfrm>
          <a:off x="8636000" y="6096000"/>
          <a:ext cx="127000" cy="127000"/>
        </a:xfrm>
        <a:prstGeom prst="diamond">
          <a:avLst/>
        </a:prstGeom>
        <a:solidFill>
          <a:srgbClr val="FF99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1017587</xdr:colOff>
      <xdr:row>20</xdr:row>
      <xdr:rowOff>234950</xdr:rowOff>
    </xdr:from>
    <xdr:to>
      <xdr:col>1</xdr:col>
      <xdr:colOff>1068387</xdr:colOff>
      <xdr:row>21</xdr:row>
      <xdr:rowOff>9525</xdr:rowOff>
    </xdr:to>
    <xdr:sp macro="" textlink="">
      <xdr:nvSpPr>
        <xdr:cNvPr id="26" name="Star25">
          <a:extLst>
            <a:ext uri="{FF2B5EF4-FFF2-40B4-BE49-F238E27FC236}">
              <a16:creationId xmlns:a16="http://schemas.microsoft.com/office/drawing/2014/main" id="{EA85C730-880B-4384-B222-74331744D2BC}"/>
            </a:ext>
          </a:extLst>
        </xdr:cNvPr>
        <xdr:cNvSpPr/>
      </xdr:nvSpPr>
      <xdr:spPr>
        <a:xfrm>
          <a:off x="1270000" y="6350000"/>
          <a:ext cx="50800" cy="50800"/>
        </a:xfrm>
        <a:prstGeom prst="diamond">
          <a:avLst/>
        </a:prstGeom>
        <a:solidFill>
          <a:srgbClr val="FFCC6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4762</xdr:colOff>
      <xdr:row>20</xdr:row>
      <xdr:rowOff>234950</xdr:rowOff>
    </xdr:from>
    <xdr:to>
      <xdr:col>7</xdr:col>
      <xdr:colOff>80962</xdr:colOff>
      <xdr:row>21</xdr:row>
      <xdr:rowOff>34925</xdr:rowOff>
    </xdr:to>
    <xdr:sp macro="" textlink="">
      <xdr:nvSpPr>
        <xdr:cNvPr id="27" name="Star26">
          <a:extLst>
            <a:ext uri="{FF2B5EF4-FFF2-40B4-BE49-F238E27FC236}">
              <a16:creationId xmlns:a16="http://schemas.microsoft.com/office/drawing/2014/main" id="{BF0D41C7-9E60-408D-90D6-24C7E40AE62F}"/>
            </a:ext>
          </a:extLst>
        </xdr:cNvPr>
        <xdr:cNvSpPr/>
      </xdr:nvSpPr>
      <xdr:spPr>
        <a:xfrm>
          <a:off x="5334000" y="6350000"/>
          <a:ext cx="76200" cy="76200"/>
        </a:xfrm>
        <a:prstGeom prst="diamond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12</xdr:col>
      <xdr:colOff>131762</xdr:colOff>
      <xdr:row>23</xdr:row>
      <xdr:rowOff>41275</xdr:rowOff>
    </xdr:from>
    <xdr:to>
      <xdr:col>12</xdr:col>
      <xdr:colOff>233362</xdr:colOff>
      <xdr:row>23</xdr:row>
      <xdr:rowOff>142875</xdr:rowOff>
    </xdr:to>
    <xdr:sp macro="" textlink="">
      <xdr:nvSpPr>
        <xdr:cNvPr id="28" name="Star27">
          <a:extLst>
            <a:ext uri="{FF2B5EF4-FFF2-40B4-BE49-F238E27FC236}">
              <a16:creationId xmlns:a16="http://schemas.microsoft.com/office/drawing/2014/main" id="{822FBFAE-CBD6-403A-8101-5773D47BCBB2}"/>
            </a:ext>
          </a:extLst>
        </xdr:cNvPr>
        <xdr:cNvSpPr/>
      </xdr:nvSpPr>
      <xdr:spPr>
        <a:xfrm>
          <a:off x="7366000" y="6985000"/>
          <a:ext cx="101600" cy="101600"/>
        </a:xfrm>
        <a:prstGeom prst="diamond">
          <a:avLst/>
        </a:prstGeom>
        <a:solidFill>
          <a:srgbClr val="FFFF99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257175</xdr:colOff>
      <xdr:row>23</xdr:row>
      <xdr:rowOff>41275</xdr:rowOff>
    </xdr:from>
    <xdr:to>
      <xdr:col>4</xdr:col>
      <xdr:colOff>384175</xdr:colOff>
      <xdr:row>23</xdr:row>
      <xdr:rowOff>168275</xdr:rowOff>
    </xdr:to>
    <xdr:sp macro="" textlink="">
      <xdr:nvSpPr>
        <xdr:cNvPr id="29" name="Star28">
          <a:extLst>
            <a:ext uri="{FF2B5EF4-FFF2-40B4-BE49-F238E27FC236}">
              <a16:creationId xmlns:a16="http://schemas.microsoft.com/office/drawing/2014/main" id="{9E3933A4-BFE7-4BF2-87EF-6FB389853032}"/>
            </a:ext>
          </a:extLst>
        </xdr:cNvPr>
        <xdr:cNvSpPr/>
      </xdr:nvSpPr>
      <xdr:spPr>
        <a:xfrm>
          <a:off x="3810000" y="6985000"/>
          <a:ext cx="127000" cy="127000"/>
        </a:xfrm>
        <a:prstGeom prst="diamond">
          <a:avLst/>
        </a:prstGeom>
        <a:solidFill>
          <a:srgbClr val="99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4762</xdr:colOff>
      <xdr:row>21</xdr:row>
      <xdr:rowOff>212725</xdr:rowOff>
    </xdr:from>
    <xdr:to>
      <xdr:col>18</xdr:col>
      <xdr:colOff>55562</xdr:colOff>
      <xdr:row>21</xdr:row>
      <xdr:rowOff>263525</xdr:rowOff>
    </xdr:to>
    <xdr:sp macro="" textlink="">
      <xdr:nvSpPr>
        <xdr:cNvPr id="30" name="Star29">
          <a:extLst>
            <a:ext uri="{FF2B5EF4-FFF2-40B4-BE49-F238E27FC236}">
              <a16:creationId xmlns:a16="http://schemas.microsoft.com/office/drawing/2014/main" id="{9E259D5D-F133-44D3-86F5-5939931F7F12}"/>
            </a:ext>
          </a:extLst>
        </xdr:cNvPr>
        <xdr:cNvSpPr/>
      </xdr:nvSpPr>
      <xdr:spPr>
        <a:xfrm>
          <a:off x="9525000" y="6604000"/>
          <a:ext cx="50800" cy="50800"/>
        </a:xfrm>
        <a:prstGeom prst="diamond">
          <a:avLst/>
        </a:prstGeom>
        <a:solidFill>
          <a:srgbClr val="FF99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382587</xdr:colOff>
      <xdr:row>13</xdr:row>
      <xdr:rowOff>263525</xdr:rowOff>
    </xdr:from>
    <xdr:to>
      <xdr:col>1</xdr:col>
      <xdr:colOff>458787</xdr:colOff>
      <xdr:row>14</xdr:row>
      <xdr:rowOff>63500</xdr:rowOff>
    </xdr:to>
    <xdr:sp macro="" textlink="">
      <xdr:nvSpPr>
        <xdr:cNvPr id="31" name="Star30">
          <a:extLst>
            <a:ext uri="{FF2B5EF4-FFF2-40B4-BE49-F238E27FC236}">
              <a16:creationId xmlns:a16="http://schemas.microsoft.com/office/drawing/2014/main" id="{63FDE0CE-FAF2-44DB-9A2B-C4B28F4846E1}"/>
            </a:ext>
          </a:extLst>
        </xdr:cNvPr>
        <xdr:cNvSpPr/>
      </xdr:nvSpPr>
      <xdr:spPr>
        <a:xfrm>
          <a:off x="635000" y="4445000"/>
          <a:ext cx="76200" cy="76200"/>
        </a:xfrm>
        <a:prstGeom prst="diamond">
          <a:avLst/>
        </a:prstGeom>
        <a:solidFill>
          <a:srgbClr val="FFCC6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258762</xdr:colOff>
      <xdr:row>0</xdr:row>
      <xdr:rowOff>63500</xdr:rowOff>
    </xdr:from>
    <xdr:to>
      <xdr:col>16</xdr:col>
      <xdr:colOff>258762</xdr:colOff>
      <xdr:row>0</xdr:row>
      <xdr:rowOff>444500</xdr:rowOff>
    </xdr:to>
    <xdr:sp macro="" textlink="">
      <xdr:nvSpPr>
        <xdr:cNvPr id="32" name="DragonBody">
          <a:extLst>
            <a:ext uri="{FF2B5EF4-FFF2-40B4-BE49-F238E27FC236}">
              <a16:creationId xmlns:a16="http://schemas.microsoft.com/office/drawing/2014/main" id="{C67260EA-2E12-47DD-BF10-A7FE0703171E}"/>
            </a:ext>
          </a:extLst>
        </xdr:cNvPr>
        <xdr:cNvSpPr/>
      </xdr:nvSpPr>
      <xdr:spPr>
        <a:xfrm>
          <a:off x="8255000" y="63500"/>
          <a:ext cx="762000" cy="381000"/>
        </a:xfrm>
        <a:prstGeom prst="line">
          <a:avLst/>
        </a:prstGeom>
        <a:solidFill>
          <a:srgbClr val="9933FF"/>
        </a:solidFill>
        <a:ln w="25400" cap="flat" cmpd="sng" algn="ctr">
          <a:solidFill>
            <a:srgbClr val="CC66FF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195262</xdr:colOff>
      <xdr:row>0</xdr:row>
      <xdr:rowOff>88900</xdr:rowOff>
    </xdr:from>
    <xdr:to>
      <xdr:col>17</xdr:col>
      <xdr:colOff>131762</xdr:colOff>
      <xdr:row>0</xdr:row>
      <xdr:rowOff>406400</xdr:rowOff>
    </xdr:to>
    <xdr:sp macro="" textlink="">
      <xdr:nvSpPr>
        <xdr:cNvPr id="33" name="DragonHead">
          <a:extLst>
            <a:ext uri="{FF2B5EF4-FFF2-40B4-BE49-F238E27FC236}">
              <a16:creationId xmlns:a16="http://schemas.microsoft.com/office/drawing/2014/main" id="{02710D02-222B-45CA-BB28-6B9B417B525A}"/>
            </a:ext>
          </a:extLst>
        </xdr:cNvPr>
        <xdr:cNvSpPr/>
      </xdr:nvSpPr>
      <xdr:spPr>
        <a:xfrm>
          <a:off x="8953500" y="88900"/>
          <a:ext cx="317500" cy="317500"/>
        </a:xfrm>
        <a:prstGeom prst="diamond">
          <a:avLst/>
        </a:prstGeom>
        <a:solidFill>
          <a:srgbClr val="9933FF"/>
        </a:solidFill>
        <a:ln w="25400" cap="flat" cmpd="sng" algn="ctr">
          <a:solidFill>
            <a:srgbClr val="CC66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4762</xdr:colOff>
      <xdr:row>0</xdr:row>
      <xdr:rowOff>0</xdr:rowOff>
    </xdr:from>
    <xdr:to>
      <xdr:col>16</xdr:col>
      <xdr:colOff>4762</xdr:colOff>
      <xdr:row>0</xdr:row>
      <xdr:rowOff>317500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4520507C-BDFC-4FED-932D-011B8E7753CF}"/>
            </a:ext>
          </a:extLst>
        </xdr:cNvPr>
        <xdr:cNvSpPr/>
      </xdr:nvSpPr>
      <xdr:spPr>
        <a:xfrm>
          <a:off x="8382000" y="0"/>
          <a:ext cx="381000" cy="3175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14</xdr:col>
      <xdr:colOff>258762</xdr:colOff>
      <xdr:row>0</xdr:row>
      <xdr:rowOff>190500</xdr:rowOff>
    </xdr:from>
    <xdr:to>
      <xdr:col>16</xdr:col>
      <xdr:colOff>258762</xdr:colOff>
      <xdr:row>0</xdr:row>
      <xdr:rowOff>571500</xdr:rowOff>
    </xdr:to>
    <xdr:sp macro="" textlink="">
      <xdr:nvSpPr>
        <xdr:cNvPr id="35" name="DragonBody">
          <a:extLst>
            <a:ext uri="{FF2B5EF4-FFF2-40B4-BE49-F238E27FC236}">
              <a16:creationId xmlns:a16="http://schemas.microsoft.com/office/drawing/2014/main" id="{C8C84639-B7DD-426B-8C12-A9E49B0203D5}"/>
            </a:ext>
          </a:extLst>
        </xdr:cNvPr>
        <xdr:cNvSpPr/>
      </xdr:nvSpPr>
      <xdr:spPr>
        <a:xfrm>
          <a:off x="8255000" y="190500"/>
          <a:ext cx="762000" cy="381000"/>
        </a:xfrm>
        <a:prstGeom prst="line">
          <a:avLst/>
        </a:prstGeom>
        <a:solidFill>
          <a:srgbClr val="9933FF"/>
        </a:solidFill>
        <a:ln w="25400" cap="flat" cmpd="sng" algn="ctr">
          <a:solidFill>
            <a:srgbClr val="CC66FF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195262</xdr:colOff>
      <xdr:row>0</xdr:row>
      <xdr:rowOff>215900</xdr:rowOff>
    </xdr:from>
    <xdr:to>
      <xdr:col>17</xdr:col>
      <xdr:colOff>131762</xdr:colOff>
      <xdr:row>0</xdr:row>
      <xdr:rowOff>533400</xdr:rowOff>
    </xdr:to>
    <xdr:sp macro="" textlink="">
      <xdr:nvSpPr>
        <xdr:cNvPr id="36" name="DragonHead">
          <a:extLst>
            <a:ext uri="{FF2B5EF4-FFF2-40B4-BE49-F238E27FC236}">
              <a16:creationId xmlns:a16="http://schemas.microsoft.com/office/drawing/2014/main" id="{835DA24F-8581-423F-AA75-8E59A1F31396}"/>
            </a:ext>
          </a:extLst>
        </xdr:cNvPr>
        <xdr:cNvSpPr/>
      </xdr:nvSpPr>
      <xdr:spPr>
        <a:xfrm>
          <a:off x="8953500" y="215900"/>
          <a:ext cx="317500" cy="317500"/>
        </a:xfrm>
        <a:prstGeom prst="diamond">
          <a:avLst/>
        </a:prstGeom>
        <a:solidFill>
          <a:srgbClr val="9933FF"/>
        </a:solidFill>
        <a:ln w="25400" cap="flat" cmpd="sng" algn="ctr">
          <a:solidFill>
            <a:srgbClr val="CC66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4762</xdr:colOff>
      <xdr:row>0</xdr:row>
      <xdr:rowOff>25400</xdr:rowOff>
    </xdr:from>
    <xdr:to>
      <xdr:col>16</xdr:col>
      <xdr:colOff>4762</xdr:colOff>
      <xdr:row>0</xdr:row>
      <xdr:rowOff>342900</xdr:rowOff>
    </xdr:to>
    <xdr:sp macro="" textlink="">
      <xdr:nvSpPr>
        <xdr:cNvPr id="37" name="DragonWing1">
          <a:extLst>
            <a:ext uri="{FF2B5EF4-FFF2-40B4-BE49-F238E27FC236}">
              <a16:creationId xmlns:a16="http://schemas.microsoft.com/office/drawing/2014/main" id="{FA637EF0-40C7-4C7A-BE7E-8B7294D89240}"/>
            </a:ext>
          </a:extLst>
        </xdr:cNvPr>
        <xdr:cNvSpPr/>
      </xdr:nvSpPr>
      <xdr:spPr>
        <a:xfrm>
          <a:off x="8382000" y="25400"/>
          <a:ext cx="381000" cy="317500"/>
        </a:xfrm>
        <a:prstGeom prst="triangle">
          <a:avLst/>
        </a:prstGeom>
        <a:solidFill>
          <a:srgbClr val="7722CC"/>
        </a:solidFill>
        <a:ln w="19050" cap="flat" cmpd="sng" algn="ctr">
          <a:solidFill>
            <a:srgbClr val="AA55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15</xdr:col>
      <xdr:colOff>322262</xdr:colOff>
      <xdr:row>0</xdr:row>
      <xdr:rowOff>25400</xdr:rowOff>
    </xdr:from>
    <xdr:to>
      <xdr:col>16</xdr:col>
      <xdr:colOff>322262</xdr:colOff>
      <xdr:row>0</xdr:row>
      <xdr:rowOff>342900</xdr:rowOff>
    </xdr:to>
    <xdr:sp macro="" textlink="">
      <xdr:nvSpPr>
        <xdr:cNvPr id="38" name="DragonWing2">
          <a:extLst>
            <a:ext uri="{FF2B5EF4-FFF2-40B4-BE49-F238E27FC236}">
              <a16:creationId xmlns:a16="http://schemas.microsoft.com/office/drawing/2014/main" id="{F700E5E8-0161-4F77-8F8B-BA9BB404472D}"/>
            </a:ext>
          </a:extLst>
        </xdr:cNvPr>
        <xdr:cNvSpPr/>
      </xdr:nvSpPr>
      <xdr:spPr>
        <a:xfrm>
          <a:off x="8699500" y="25400"/>
          <a:ext cx="381000" cy="317500"/>
        </a:xfrm>
        <a:prstGeom prst="triangle">
          <a:avLst/>
        </a:prstGeom>
        <a:solidFill>
          <a:srgbClr val="7722CC"/>
        </a:solidFill>
        <a:ln w="19050" cap="flat" cmpd="sng" algn="ctr">
          <a:solidFill>
            <a:srgbClr val="AA55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258762</xdr:colOff>
      <xdr:row>0</xdr:row>
      <xdr:rowOff>228600</xdr:rowOff>
    </xdr:from>
    <xdr:to>
      <xdr:col>14</xdr:col>
      <xdr:colOff>322262</xdr:colOff>
      <xdr:row>0</xdr:row>
      <xdr:rowOff>546100</xdr:rowOff>
    </xdr:to>
    <xdr:sp macro="" textlink="">
      <xdr:nvSpPr>
        <xdr:cNvPr id="39" name="DragonTail">
          <a:extLst>
            <a:ext uri="{FF2B5EF4-FFF2-40B4-BE49-F238E27FC236}">
              <a16:creationId xmlns:a16="http://schemas.microsoft.com/office/drawing/2014/main" id="{6252EE02-E1FA-4560-84F7-DF6388161973}"/>
            </a:ext>
          </a:extLst>
        </xdr:cNvPr>
        <xdr:cNvSpPr/>
      </xdr:nvSpPr>
      <xdr:spPr>
        <a:xfrm>
          <a:off x="7874000" y="228600"/>
          <a:ext cx="444500" cy="317500"/>
        </a:xfrm>
        <a:prstGeom prst="lightningBolt">
          <a:avLst/>
        </a:prstGeom>
        <a:solidFill>
          <a:srgbClr val="FF6600"/>
        </a:solidFill>
        <a:ln w="19050" cap="flat" cmpd="sng" algn="ctr">
          <a:solidFill>
            <a:srgbClr val="FFAA0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17</xdr:col>
      <xdr:colOff>68262</xdr:colOff>
      <xdr:row>0</xdr:row>
      <xdr:rowOff>254000</xdr:rowOff>
    </xdr:from>
    <xdr:to>
      <xdr:col>17</xdr:col>
      <xdr:colOff>296862</xdr:colOff>
      <xdr:row>0</xdr:row>
      <xdr:rowOff>482600</xdr:rowOff>
    </xdr:to>
    <xdr:sp macro="" textlink="">
      <xdr:nvSpPr>
        <xdr:cNvPr id="40" name="Fire1">
          <a:extLst>
            <a:ext uri="{FF2B5EF4-FFF2-40B4-BE49-F238E27FC236}">
              <a16:creationId xmlns:a16="http://schemas.microsoft.com/office/drawing/2014/main" id="{3C61F7B8-9B0B-4692-A935-6F08D71F441E}"/>
            </a:ext>
          </a:extLst>
        </xdr:cNvPr>
        <xdr:cNvSpPr/>
      </xdr:nvSpPr>
      <xdr:spPr>
        <a:xfrm>
          <a:off x="9207500" y="254000"/>
          <a:ext cx="228600" cy="228600"/>
        </a:xfrm>
        <a:prstGeom prst="star6">
          <a:avLst/>
        </a:prstGeom>
        <a:solidFill>
          <a:srgbClr val="FF3300"/>
        </a:solidFill>
        <a:ln w="19050" cap="flat" cmpd="sng" algn="ctr">
          <a:solidFill>
            <a:srgbClr val="FFCC0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17</xdr:col>
      <xdr:colOff>284162</xdr:colOff>
      <xdr:row>0</xdr:row>
      <xdr:rowOff>279400</xdr:rowOff>
    </xdr:from>
    <xdr:to>
      <xdr:col>18</xdr:col>
      <xdr:colOff>80962</xdr:colOff>
      <xdr:row>0</xdr:row>
      <xdr:rowOff>457200</xdr:rowOff>
    </xdr:to>
    <xdr:sp macro="" textlink="">
      <xdr:nvSpPr>
        <xdr:cNvPr id="41" name="Fire2">
          <a:extLst>
            <a:ext uri="{FF2B5EF4-FFF2-40B4-BE49-F238E27FC236}">
              <a16:creationId xmlns:a16="http://schemas.microsoft.com/office/drawing/2014/main" id="{0944280D-E11B-4EDD-B4DE-405A3D890121}"/>
            </a:ext>
          </a:extLst>
        </xdr:cNvPr>
        <xdr:cNvSpPr/>
      </xdr:nvSpPr>
      <xdr:spPr>
        <a:xfrm>
          <a:off x="9423400" y="279400"/>
          <a:ext cx="177800" cy="177800"/>
        </a:xfrm>
        <a:prstGeom prst="star4">
          <a:avLst/>
        </a:prstGeom>
        <a:solidFill>
          <a:srgbClr val="FF6600"/>
        </a:solidFill>
        <a:ln w="19050" cap="flat" cmpd="sng" algn="ctr">
          <a:solidFill>
            <a:srgbClr val="FFFF0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68262</xdr:colOff>
      <xdr:row>0</xdr:row>
      <xdr:rowOff>317500</xdr:rowOff>
    </xdr:from>
    <xdr:to>
      <xdr:col>18</xdr:col>
      <xdr:colOff>195262</xdr:colOff>
      <xdr:row>0</xdr:row>
      <xdr:rowOff>444500</xdr:rowOff>
    </xdr:to>
    <xdr:sp macro="" textlink="">
      <xdr:nvSpPr>
        <xdr:cNvPr id="42" name="Fire3">
          <a:extLst>
            <a:ext uri="{FF2B5EF4-FFF2-40B4-BE49-F238E27FC236}">
              <a16:creationId xmlns:a16="http://schemas.microsoft.com/office/drawing/2014/main" id="{39248ABC-9F48-426E-8B60-A84AB0A843E6}"/>
            </a:ext>
          </a:extLst>
        </xdr:cNvPr>
        <xdr:cNvSpPr/>
      </xdr:nvSpPr>
      <xdr:spPr>
        <a:xfrm>
          <a:off x="9588500" y="317500"/>
          <a:ext cx="127000" cy="127000"/>
        </a:xfrm>
        <a:prstGeom prst="star4">
          <a:avLst/>
        </a:prstGeom>
        <a:solidFill>
          <a:srgbClr val="FFCC00"/>
        </a:solidFill>
        <a:ln w="19050" cap="flat" cmpd="sng" algn="ctr">
          <a:solidFill>
            <a:srgbClr val="FFFF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1</xdr:colOff>
      <xdr:row>3</xdr:row>
      <xdr:rowOff>0</xdr:rowOff>
    </xdr:from>
    <xdr:to>
      <xdr:col>9</xdr:col>
      <xdr:colOff>1</xdr:colOff>
      <xdr:row>18</xdr:row>
      <xdr:rowOff>0</xdr:rowOff>
    </xdr:to>
    <xdr:graphicFrame macro="">
      <xdr:nvGraphicFramePr>
        <xdr:cNvPr id="43" name="CosmicActivityChart">
          <a:extLst>
            <a:ext uri="{FF2B5EF4-FFF2-40B4-BE49-F238E27FC236}">
              <a16:creationId xmlns:a16="http://schemas.microsoft.com/office/drawing/2014/main" id="{2434CD0A-F010-F295-1D20-FBF1E7AF6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258762</xdr:colOff>
      <xdr:row>17</xdr:row>
      <xdr:rowOff>174625</xdr:rowOff>
    </xdr:from>
    <xdr:to>
      <xdr:col>13</xdr:col>
      <xdr:colOff>258762</xdr:colOff>
      <xdr:row>20</xdr:row>
      <xdr:rowOff>107950</xdr:rowOff>
    </xdr:to>
    <xdr:sp macro="" textlink="">
      <xdr:nvSpPr>
        <xdr:cNvPr id="44" name="Nebula1">
          <a:extLst>
            <a:ext uri="{FF2B5EF4-FFF2-40B4-BE49-F238E27FC236}">
              <a16:creationId xmlns:a16="http://schemas.microsoft.com/office/drawing/2014/main" id="{3B74FDD3-6572-46C8-81D1-1A9AD6D95C25}"/>
            </a:ext>
          </a:extLst>
        </xdr:cNvPr>
        <xdr:cNvSpPr/>
      </xdr:nvSpPr>
      <xdr:spPr>
        <a:xfrm>
          <a:off x="6350000" y="5461000"/>
          <a:ext cx="1524000" cy="762000"/>
        </a:xfrm>
        <a:prstGeom prst="line">
          <a:avLst/>
        </a:prstGeom>
        <a:solidFill>
          <a:srgbClr val="2D1A4A">
            <a:alpha val="5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382587</xdr:colOff>
      <xdr:row>23</xdr:row>
      <xdr:rowOff>41275</xdr:rowOff>
    </xdr:from>
    <xdr:to>
      <xdr:col>2</xdr:col>
      <xdr:colOff>381000</xdr:colOff>
      <xdr:row>25</xdr:row>
      <xdr:rowOff>123825</xdr:rowOff>
    </xdr:to>
    <xdr:sp macro="" textlink="">
      <xdr:nvSpPr>
        <xdr:cNvPr id="45" name="Nebula2">
          <a:extLst>
            <a:ext uri="{FF2B5EF4-FFF2-40B4-BE49-F238E27FC236}">
              <a16:creationId xmlns:a16="http://schemas.microsoft.com/office/drawing/2014/main" id="{B5FAFA05-6BA9-465E-9906-02B4796AC87F}"/>
            </a:ext>
          </a:extLst>
        </xdr:cNvPr>
        <xdr:cNvSpPr/>
      </xdr:nvSpPr>
      <xdr:spPr>
        <a:xfrm>
          <a:off x="635000" y="6985000"/>
          <a:ext cx="1270000" cy="635000"/>
        </a:xfrm>
        <a:prstGeom prst="line">
          <a:avLst/>
        </a:prstGeom>
        <a:solidFill>
          <a:srgbClr val="1A2A4A">
            <a:alpha val="5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4762</xdr:colOff>
      <xdr:row>16</xdr:row>
      <xdr:rowOff>69850</xdr:rowOff>
    </xdr:from>
    <xdr:to>
      <xdr:col>18</xdr:col>
      <xdr:colOff>322262</xdr:colOff>
      <xdr:row>17</xdr:row>
      <xdr:rowOff>111125</xdr:rowOff>
    </xdr:to>
    <xdr:sp macro="" textlink="">
      <xdr:nvSpPr>
        <xdr:cNvPr id="46" name="Planet1">
          <a:extLst>
            <a:ext uri="{FF2B5EF4-FFF2-40B4-BE49-F238E27FC236}">
              <a16:creationId xmlns:a16="http://schemas.microsoft.com/office/drawing/2014/main" id="{3C107B4F-A7BD-4EC4-9767-20CD948696B2}"/>
            </a:ext>
          </a:extLst>
        </xdr:cNvPr>
        <xdr:cNvSpPr/>
      </xdr:nvSpPr>
      <xdr:spPr>
        <a:xfrm>
          <a:off x="9525000" y="5080000"/>
          <a:ext cx="317500" cy="317500"/>
        </a:xfrm>
        <a:prstGeom prst="line">
          <a:avLst/>
        </a:prstGeom>
        <a:solidFill>
          <a:srgbClr val="FF6633"/>
        </a:solidFill>
        <a:ln w="25400" cap="flat" cmpd="sng" algn="ctr">
          <a:solidFill>
            <a:srgbClr val="FFAA66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892175</xdr:colOff>
      <xdr:row>19</xdr:row>
      <xdr:rowOff>257175</xdr:rowOff>
    </xdr:from>
    <xdr:to>
      <xdr:col>5</xdr:col>
      <xdr:colOff>131762</xdr:colOff>
      <xdr:row>20</xdr:row>
      <xdr:rowOff>234950</xdr:rowOff>
    </xdr:to>
    <xdr:sp macro="" textlink="">
      <xdr:nvSpPr>
        <xdr:cNvPr id="47" name="Planet2">
          <a:extLst>
            <a:ext uri="{FF2B5EF4-FFF2-40B4-BE49-F238E27FC236}">
              <a16:creationId xmlns:a16="http://schemas.microsoft.com/office/drawing/2014/main" id="{9C7E2428-F4C3-4871-8D28-24455F7F1469}"/>
            </a:ext>
          </a:extLst>
        </xdr:cNvPr>
        <xdr:cNvSpPr/>
      </xdr:nvSpPr>
      <xdr:spPr>
        <a:xfrm>
          <a:off x="4445000" y="6096000"/>
          <a:ext cx="254000" cy="254000"/>
        </a:xfrm>
        <a:prstGeom prst="line">
          <a:avLst/>
        </a:prstGeom>
        <a:solidFill>
          <a:srgbClr val="6699FF"/>
        </a:solidFill>
        <a:ln w="19050" cap="flat" cmpd="sng" algn="ctr">
          <a:solidFill>
            <a:srgbClr val="99CCFF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1587</xdr:colOff>
      <xdr:row>21</xdr:row>
      <xdr:rowOff>212725</xdr:rowOff>
    </xdr:from>
    <xdr:to>
      <xdr:col>3</xdr:col>
      <xdr:colOff>636587</xdr:colOff>
      <xdr:row>22</xdr:row>
      <xdr:rowOff>127000</xdr:rowOff>
    </xdr:to>
    <xdr:sp macro="" textlink="">
      <xdr:nvSpPr>
        <xdr:cNvPr id="48" name="Comet">
          <a:extLst>
            <a:ext uri="{FF2B5EF4-FFF2-40B4-BE49-F238E27FC236}">
              <a16:creationId xmlns:a16="http://schemas.microsoft.com/office/drawing/2014/main" id="{B89FFF52-1ACB-4968-B135-342E896A889A}"/>
            </a:ext>
          </a:extLst>
        </xdr:cNvPr>
        <xdr:cNvSpPr/>
      </xdr:nvSpPr>
      <xdr:spPr>
        <a:xfrm rot="-1800000">
          <a:off x="2540000" y="6604000"/>
          <a:ext cx="635000" cy="190500"/>
        </a:xfrm>
        <a:prstGeom prst="rightArrow">
          <a:avLst/>
        </a:prstGeom>
        <a:solidFill>
          <a:srgbClr val="FFFFFF">
            <a:alpha val="7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1</xdr:colOff>
      <xdr:row>18</xdr:row>
      <xdr:rowOff>0</xdr:rowOff>
    </xdr:from>
    <xdr:to>
      <xdr:col>9</xdr:col>
      <xdr:colOff>1</xdr:colOff>
      <xdr:row>32</xdr:row>
      <xdr:rowOff>0</xdr:rowOff>
    </xdr:to>
    <xdr:graphicFrame macro="">
      <xdr:nvGraphicFramePr>
        <xdr:cNvPr id="49" name="NebulaDistribution">
          <a:extLst>
            <a:ext uri="{FF2B5EF4-FFF2-40B4-BE49-F238E27FC236}">
              <a16:creationId xmlns:a16="http://schemas.microsoft.com/office/drawing/2014/main" id="{AED06B35-D9CB-9EAD-7CCD-8F8D7F286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698500</xdr:rowOff>
    </xdr:from>
    <xdr:to>
      <xdr:col>19</xdr:col>
      <xdr:colOff>258762</xdr:colOff>
      <xdr:row>0</xdr:row>
      <xdr:rowOff>749300</xdr:rowOff>
    </xdr:to>
    <xdr:sp macro="" textlink="">
      <xdr:nvSpPr>
        <xdr:cNvPr id="50" name="TopBorder">
          <a:extLst>
            <a:ext uri="{FF2B5EF4-FFF2-40B4-BE49-F238E27FC236}">
              <a16:creationId xmlns:a16="http://schemas.microsoft.com/office/drawing/2014/main" id="{0E4B76BD-9742-4FF5-821D-9198D95B9C41}"/>
            </a:ext>
          </a:extLst>
        </xdr:cNvPr>
        <xdr:cNvSpPr/>
      </xdr:nvSpPr>
      <xdr:spPr>
        <a:xfrm>
          <a:off x="0" y="698500"/>
          <a:ext cx="10160000" cy="50800"/>
        </a:xfrm>
        <a:prstGeom prst="rect">
          <a:avLst/>
        </a:prstGeom>
        <a:solidFill>
          <a:srgbClr val="00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19</xdr:col>
      <xdr:colOff>258762</xdr:colOff>
      <xdr:row>1</xdr:row>
      <xdr:rowOff>25400</xdr:rowOff>
    </xdr:to>
    <xdr:sp macro="" textlink="">
      <xdr:nvSpPr>
        <xdr:cNvPr id="51" name="AccentLine">
          <a:extLst>
            <a:ext uri="{FF2B5EF4-FFF2-40B4-BE49-F238E27FC236}">
              <a16:creationId xmlns:a16="http://schemas.microsoft.com/office/drawing/2014/main" id="{75771C42-6F0D-4F86-80A0-2D78176CDA11}"/>
            </a:ext>
          </a:extLst>
        </xdr:cNvPr>
        <xdr:cNvSpPr/>
      </xdr:nvSpPr>
      <xdr:spPr>
        <a:xfrm>
          <a:off x="0" y="762000"/>
          <a:ext cx="10160000" cy="25400"/>
        </a:xfrm>
        <a:prstGeom prst="rect">
          <a:avLst/>
        </a:prstGeom>
        <a:solidFill>
          <a:srgbClr val="FF00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63500</xdr:colOff>
      <xdr:row>0</xdr:row>
      <xdr:rowOff>63500</xdr:rowOff>
    </xdr:from>
    <xdr:to>
      <xdr:col>1</xdr:col>
      <xdr:colOff>192087</xdr:colOff>
      <xdr:row>0</xdr:row>
      <xdr:rowOff>444500</xdr:rowOff>
    </xdr:to>
    <xdr:sp macro="" textlink="">
      <xdr:nvSpPr>
        <xdr:cNvPr id="52" name="CornerStar1">
          <a:extLst>
            <a:ext uri="{FF2B5EF4-FFF2-40B4-BE49-F238E27FC236}">
              <a16:creationId xmlns:a16="http://schemas.microsoft.com/office/drawing/2014/main" id="{8F759A0E-47EF-4C7F-A5E0-3C0A1C2F0875}"/>
            </a:ext>
          </a:extLst>
        </xdr:cNvPr>
        <xdr:cNvSpPr/>
      </xdr:nvSpPr>
      <xdr:spPr>
        <a:xfrm>
          <a:off x="63500" y="63500"/>
          <a:ext cx="381000" cy="381000"/>
        </a:xfrm>
        <a:prstGeom prst="star6">
          <a:avLst/>
        </a:prstGeom>
        <a:solidFill>
          <a:srgbClr val="FFCC00"/>
        </a:solidFill>
        <a:ln w="19050" cap="flat" cmpd="sng" algn="ctr">
          <a:solidFill>
            <a:srgbClr val="FFFF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18</xdr:col>
      <xdr:colOff>258762</xdr:colOff>
      <xdr:row>0</xdr:row>
      <xdr:rowOff>63500</xdr:rowOff>
    </xdr:from>
    <xdr:to>
      <xdr:col>19</xdr:col>
      <xdr:colOff>258762</xdr:colOff>
      <xdr:row>0</xdr:row>
      <xdr:rowOff>444500</xdr:rowOff>
    </xdr:to>
    <xdr:sp macro="" textlink="">
      <xdr:nvSpPr>
        <xdr:cNvPr id="53" name="CornerStar2">
          <a:extLst>
            <a:ext uri="{FF2B5EF4-FFF2-40B4-BE49-F238E27FC236}">
              <a16:creationId xmlns:a16="http://schemas.microsoft.com/office/drawing/2014/main" id="{B773CDE2-91FB-4059-96DB-D1C029EF458D}"/>
            </a:ext>
          </a:extLst>
        </xdr:cNvPr>
        <xdr:cNvSpPr/>
      </xdr:nvSpPr>
      <xdr:spPr>
        <a:xfrm>
          <a:off x="9779000" y="63500"/>
          <a:ext cx="381000" cy="381000"/>
        </a:xfrm>
        <a:prstGeom prst="star6">
          <a:avLst/>
        </a:prstGeom>
        <a:solidFill>
          <a:srgbClr val="FFCC00"/>
        </a:solidFill>
        <a:ln w="19050" cap="flat" cmpd="sng" algn="ctr">
          <a:solidFill>
            <a:srgbClr val="FFFF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131762</xdr:colOff>
      <xdr:row>25</xdr:row>
      <xdr:rowOff>123825</xdr:rowOff>
    </xdr:from>
    <xdr:to>
      <xdr:col>17</xdr:col>
      <xdr:colOff>131762</xdr:colOff>
      <xdr:row>29</xdr:row>
      <xdr:rowOff>34925</xdr:rowOff>
    </xdr:to>
    <xdr:sp macro="" textlink="">
      <xdr:nvSpPr>
        <xdr:cNvPr id="54" name="StatusBox">
          <a:extLst>
            <a:ext uri="{FF2B5EF4-FFF2-40B4-BE49-F238E27FC236}">
              <a16:creationId xmlns:a16="http://schemas.microsoft.com/office/drawing/2014/main" id="{47B99620-D5CA-467F-A9A7-276FBCA25CC8}"/>
            </a:ext>
          </a:extLst>
        </xdr:cNvPr>
        <xdr:cNvSpPr/>
      </xdr:nvSpPr>
      <xdr:spPr>
        <a:xfrm>
          <a:off x="6985000" y="7620000"/>
          <a:ext cx="2286000" cy="1016000"/>
        </a:xfrm>
        <a:prstGeom prst="roundRect">
          <a:avLst/>
        </a:prstGeom>
        <a:solidFill>
          <a:srgbClr val="001A00"/>
        </a:solidFill>
        <a:ln w="25400" cap="flat" cmpd="sng" algn="ctr">
          <a:solidFill>
            <a:srgbClr val="00FF0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FF00"/>
              </a:solidFill>
              <a:effectLst/>
              <a:uLnTx/>
              <a:uFillTx/>
              <a:latin typeface="Aptos Narrow" panose="02110004020202020204"/>
            </a:rPr>
            <a:t>🟢 SYSTEMS ONLINE
✓ Data Link Active
✓ Dragon Mode: ON</a:t>
          </a:r>
        </a:p>
      </xdr:txBody>
    </xdr:sp>
    <xdr:clientData/>
  </xdr:twoCellAnchor>
  <xdr:twoCellAnchor>
    <xdr:from>
      <xdr:col>1</xdr:col>
      <xdr:colOff>382587</xdr:colOff>
      <xdr:row>25</xdr:row>
      <xdr:rowOff>123825</xdr:rowOff>
    </xdr:from>
    <xdr:to>
      <xdr:col>1</xdr:col>
      <xdr:colOff>1017587</xdr:colOff>
      <xdr:row>27</xdr:row>
      <xdr:rowOff>142875</xdr:rowOff>
    </xdr:to>
    <xdr:sp macro="" textlink="">
      <xdr:nvSpPr>
        <xdr:cNvPr id="55" name="MissionPatch">
          <a:extLst>
            <a:ext uri="{FF2B5EF4-FFF2-40B4-BE49-F238E27FC236}">
              <a16:creationId xmlns:a16="http://schemas.microsoft.com/office/drawing/2014/main" id="{334501E2-ECC6-4D10-872F-5593F49D57A9}"/>
            </a:ext>
          </a:extLst>
        </xdr:cNvPr>
        <xdr:cNvSpPr/>
      </xdr:nvSpPr>
      <xdr:spPr>
        <a:xfrm>
          <a:off x="635000" y="7620000"/>
          <a:ext cx="635000" cy="571500"/>
        </a:xfrm>
        <a:prstGeom prst="hexagon">
          <a:avLst/>
        </a:prstGeom>
        <a:solidFill>
          <a:srgbClr val="330066"/>
        </a:solidFill>
        <a:ln w="38100" cap="flat" cmpd="sng" algn="ctr">
          <a:solidFill>
            <a:srgbClr val="9966F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🌱
GDN</a:t>
          </a:r>
        </a:p>
      </xdr:txBody>
    </xdr:sp>
    <xdr:clientData/>
  </xdr:twoCellAnchor>
  <xdr:twoCellAnchor>
    <xdr:from>
      <xdr:col>1</xdr:col>
      <xdr:colOff>890587</xdr:colOff>
      <xdr:row>0</xdr:row>
      <xdr:rowOff>215900</xdr:rowOff>
    </xdr:from>
    <xdr:to>
      <xdr:col>2</xdr:col>
      <xdr:colOff>317500</xdr:colOff>
      <xdr:row>0</xdr:row>
      <xdr:rowOff>571500</xdr:rowOff>
    </xdr:to>
    <xdr:sp macro="" textlink="">
      <xdr:nvSpPr>
        <xdr:cNvPr id="56" name="DragonBody2">
          <a:extLst>
            <a:ext uri="{FF2B5EF4-FFF2-40B4-BE49-F238E27FC236}">
              <a16:creationId xmlns:a16="http://schemas.microsoft.com/office/drawing/2014/main" id="{843D130A-5C3B-4254-B4A2-0622ADB7D280}"/>
            </a:ext>
          </a:extLst>
        </xdr:cNvPr>
        <xdr:cNvSpPr/>
      </xdr:nvSpPr>
      <xdr:spPr>
        <a:xfrm>
          <a:off x="1143000" y="215900"/>
          <a:ext cx="698500" cy="355600"/>
        </a:xfrm>
        <a:prstGeom prst="line">
          <a:avLst/>
        </a:prstGeom>
        <a:solidFill>
          <a:srgbClr val="FF3366"/>
        </a:solidFill>
        <a:ln w="25400" cap="flat" cmpd="sng" algn="ctr">
          <a:solidFill>
            <a:srgbClr val="FF6699"/>
          </a:solidFill>
          <a:prstDash val="solid"/>
          <a:miter lim="800000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636587</xdr:colOff>
      <xdr:row>0</xdr:row>
      <xdr:rowOff>228600</xdr:rowOff>
    </xdr:from>
    <xdr:to>
      <xdr:col>1</xdr:col>
      <xdr:colOff>915987</xdr:colOff>
      <xdr:row>0</xdr:row>
      <xdr:rowOff>508000</xdr:rowOff>
    </xdr:to>
    <xdr:sp macro="" textlink="">
      <xdr:nvSpPr>
        <xdr:cNvPr id="57" name="DragonHead2">
          <a:extLst>
            <a:ext uri="{FF2B5EF4-FFF2-40B4-BE49-F238E27FC236}">
              <a16:creationId xmlns:a16="http://schemas.microsoft.com/office/drawing/2014/main" id="{94BF3BDD-6EC9-45BA-B3BF-A5ED829A3A33}"/>
            </a:ext>
          </a:extLst>
        </xdr:cNvPr>
        <xdr:cNvSpPr/>
      </xdr:nvSpPr>
      <xdr:spPr>
        <a:xfrm>
          <a:off x="889000" y="228600"/>
          <a:ext cx="279400" cy="279400"/>
        </a:xfrm>
        <a:prstGeom prst="diamond">
          <a:avLst/>
        </a:prstGeom>
        <a:solidFill>
          <a:srgbClr val="FF3366"/>
        </a:solidFill>
        <a:ln w="19050" cap="flat" cmpd="sng" algn="ctr">
          <a:solidFill>
            <a:srgbClr val="FF6699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1081087</xdr:colOff>
      <xdr:row>0</xdr:row>
      <xdr:rowOff>38100</xdr:rowOff>
    </xdr:from>
    <xdr:to>
      <xdr:col>2</xdr:col>
      <xdr:colOff>165100</xdr:colOff>
      <xdr:row>0</xdr:row>
      <xdr:rowOff>317500</xdr:rowOff>
    </xdr:to>
    <xdr:sp macro="" textlink="">
      <xdr:nvSpPr>
        <xdr:cNvPr id="58" name="DragonWing2a">
          <a:extLst>
            <a:ext uri="{FF2B5EF4-FFF2-40B4-BE49-F238E27FC236}">
              <a16:creationId xmlns:a16="http://schemas.microsoft.com/office/drawing/2014/main" id="{3C8DBA52-215C-4280-B41E-82681FE6EDCA}"/>
            </a:ext>
          </a:extLst>
        </xdr:cNvPr>
        <xdr:cNvSpPr/>
      </xdr:nvSpPr>
      <xdr:spPr>
        <a:xfrm>
          <a:off x="1333500" y="38100"/>
          <a:ext cx="355600" cy="279400"/>
        </a:xfrm>
        <a:prstGeom prst="triangle">
          <a:avLst/>
        </a:prstGeom>
        <a:solidFill>
          <a:srgbClr val="CC2255"/>
        </a:solidFill>
        <a:ln w="19050" cap="flat" cmpd="sng" algn="ctr">
          <a:solidFill>
            <a:srgbClr val="FF5588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254000</xdr:colOff>
      <xdr:row>0</xdr:row>
      <xdr:rowOff>254000</xdr:rowOff>
    </xdr:from>
    <xdr:to>
      <xdr:col>2</xdr:col>
      <xdr:colOff>635000</xdr:colOff>
      <xdr:row>0</xdr:row>
      <xdr:rowOff>533400</xdr:rowOff>
    </xdr:to>
    <xdr:sp macro="" textlink="">
      <xdr:nvSpPr>
        <xdr:cNvPr id="59" name="DragonTail2">
          <a:extLst>
            <a:ext uri="{FF2B5EF4-FFF2-40B4-BE49-F238E27FC236}">
              <a16:creationId xmlns:a16="http://schemas.microsoft.com/office/drawing/2014/main" id="{463DE4C2-8794-465F-9899-269F1FC60875}"/>
            </a:ext>
          </a:extLst>
        </xdr:cNvPr>
        <xdr:cNvSpPr/>
      </xdr:nvSpPr>
      <xdr:spPr>
        <a:xfrm>
          <a:off x="1778000" y="254000"/>
          <a:ext cx="381000" cy="279400"/>
        </a:xfrm>
        <a:prstGeom prst="lightningBolt">
          <a:avLst/>
        </a:prstGeom>
        <a:solidFill>
          <a:srgbClr val="FFCC00"/>
        </a:solidFill>
        <a:ln w="19050" cap="flat" cmpd="sng" algn="ctr">
          <a:solidFill>
            <a:srgbClr val="FFFF66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446087</xdr:colOff>
      <xdr:row>0</xdr:row>
      <xdr:rowOff>254000</xdr:rowOff>
    </xdr:from>
    <xdr:to>
      <xdr:col>1</xdr:col>
      <xdr:colOff>649287</xdr:colOff>
      <xdr:row>0</xdr:row>
      <xdr:rowOff>457200</xdr:rowOff>
    </xdr:to>
    <xdr:sp macro="" textlink="">
      <xdr:nvSpPr>
        <xdr:cNvPr id="60" name="Fire2a">
          <a:extLst>
            <a:ext uri="{FF2B5EF4-FFF2-40B4-BE49-F238E27FC236}">
              <a16:creationId xmlns:a16="http://schemas.microsoft.com/office/drawing/2014/main" id="{2E5CA1D7-6DC0-41AE-B28B-6CC3C89DD677}"/>
            </a:ext>
          </a:extLst>
        </xdr:cNvPr>
        <xdr:cNvSpPr/>
      </xdr:nvSpPr>
      <xdr:spPr>
        <a:xfrm>
          <a:off x="698500" y="254000"/>
          <a:ext cx="203200" cy="203200"/>
        </a:xfrm>
        <a:prstGeom prst="star6">
          <a:avLst/>
        </a:prstGeom>
        <a:solidFill>
          <a:srgbClr val="FF6600"/>
        </a:solidFill>
        <a:ln w="19050" cap="flat" cmpd="sng" algn="ctr">
          <a:solidFill>
            <a:srgbClr val="FFCC0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131762</xdr:colOff>
      <xdr:row>1</xdr:row>
      <xdr:rowOff>254000</xdr:rowOff>
    </xdr:from>
    <xdr:to>
      <xdr:col>7</xdr:col>
      <xdr:colOff>4762</xdr:colOff>
      <xdr:row>2</xdr:row>
      <xdr:rowOff>127000</xdr:rowOff>
    </xdr:to>
    <xdr:sp macro="" textlink="">
      <xdr:nvSpPr>
        <xdr:cNvPr id="61" name="BigStar1">
          <a:extLst>
            <a:ext uri="{FF2B5EF4-FFF2-40B4-BE49-F238E27FC236}">
              <a16:creationId xmlns:a16="http://schemas.microsoft.com/office/drawing/2014/main" id="{0BDDCBD9-4463-4EDE-B937-F71CECB58138}"/>
            </a:ext>
          </a:extLst>
        </xdr:cNvPr>
        <xdr:cNvSpPr/>
      </xdr:nvSpPr>
      <xdr:spPr>
        <a:xfrm>
          <a:off x="5080000" y="1016000"/>
          <a:ext cx="254000" cy="254000"/>
        </a:xfrm>
        <a:prstGeom prst="star5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257175</xdr:colOff>
      <xdr:row>9</xdr:row>
      <xdr:rowOff>98425</xdr:rowOff>
    </xdr:from>
    <xdr:to>
      <xdr:col>4</xdr:col>
      <xdr:colOff>485775</xdr:colOff>
      <xdr:row>10</xdr:row>
      <xdr:rowOff>50800</xdr:rowOff>
    </xdr:to>
    <xdr:sp macro="" textlink="">
      <xdr:nvSpPr>
        <xdr:cNvPr id="62" name="BigStar2">
          <a:extLst>
            <a:ext uri="{FF2B5EF4-FFF2-40B4-BE49-F238E27FC236}">
              <a16:creationId xmlns:a16="http://schemas.microsoft.com/office/drawing/2014/main" id="{3E5A4131-9BB2-460D-B1C2-50937362BFA3}"/>
            </a:ext>
          </a:extLst>
        </xdr:cNvPr>
        <xdr:cNvSpPr/>
      </xdr:nvSpPr>
      <xdr:spPr>
        <a:xfrm>
          <a:off x="3810000" y="3175000"/>
          <a:ext cx="228600" cy="228600"/>
        </a:xfrm>
        <a:prstGeom prst="star5">
          <a:avLst/>
        </a:prstGeom>
        <a:solidFill>
          <a:srgbClr val="FFFF99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131762</xdr:colOff>
      <xdr:row>11</xdr:row>
      <xdr:rowOff>180975</xdr:rowOff>
    </xdr:from>
    <xdr:to>
      <xdr:col>17</xdr:col>
      <xdr:colOff>30162</xdr:colOff>
      <xdr:row>12</xdr:row>
      <xdr:rowOff>184150</xdr:rowOff>
    </xdr:to>
    <xdr:sp macro="" textlink="">
      <xdr:nvSpPr>
        <xdr:cNvPr id="63" name="BigStar3">
          <a:extLst>
            <a:ext uri="{FF2B5EF4-FFF2-40B4-BE49-F238E27FC236}">
              <a16:creationId xmlns:a16="http://schemas.microsoft.com/office/drawing/2014/main" id="{632B5660-CBA5-4D89-9515-71FC87E1591F}"/>
            </a:ext>
          </a:extLst>
        </xdr:cNvPr>
        <xdr:cNvSpPr/>
      </xdr:nvSpPr>
      <xdr:spPr>
        <a:xfrm>
          <a:off x="8890000" y="3810000"/>
          <a:ext cx="279400" cy="279400"/>
        </a:xfrm>
        <a:prstGeom prst="star5">
          <a:avLst/>
        </a:prstGeom>
        <a:solidFill>
          <a:srgbClr val="99FF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381000</xdr:colOff>
      <xdr:row>13</xdr:row>
      <xdr:rowOff>263525</xdr:rowOff>
    </xdr:from>
    <xdr:to>
      <xdr:col>2</xdr:col>
      <xdr:colOff>584200</xdr:colOff>
      <xdr:row>14</xdr:row>
      <xdr:rowOff>190500</xdr:rowOff>
    </xdr:to>
    <xdr:sp macro="" textlink="">
      <xdr:nvSpPr>
        <xdr:cNvPr id="64" name="BigStar4">
          <a:extLst>
            <a:ext uri="{FF2B5EF4-FFF2-40B4-BE49-F238E27FC236}">
              <a16:creationId xmlns:a16="http://schemas.microsoft.com/office/drawing/2014/main" id="{6921F661-0BBF-47CE-8A79-6301260DA4C1}"/>
            </a:ext>
          </a:extLst>
        </xdr:cNvPr>
        <xdr:cNvSpPr/>
      </xdr:nvSpPr>
      <xdr:spPr>
        <a:xfrm>
          <a:off x="1905000" y="4445000"/>
          <a:ext cx="203200" cy="203200"/>
        </a:xfrm>
        <a:prstGeom prst="star5">
          <a:avLst/>
        </a:prstGeom>
        <a:solidFill>
          <a:srgbClr val="FF99FF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12</xdr:col>
      <xdr:colOff>131762</xdr:colOff>
      <xdr:row>19</xdr:row>
      <xdr:rowOff>257175</xdr:rowOff>
    </xdr:from>
    <xdr:to>
      <xdr:col>12</xdr:col>
      <xdr:colOff>373062</xdr:colOff>
      <xdr:row>20</xdr:row>
      <xdr:rowOff>222250</xdr:rowOff>
    </xdr:to>
    <xdr:sp macro="" textlink="">
      <xdr:nvSpPr>
        <xdr:cNvPr id="65" name="BigStar5">
          <a:extLst>
            <a:ext uri="{FF2B5EF4-FFF2-40B4-BE49-F238E27FC236}">
              <a16:creationId xmlns:a16="http://schemas.microsoft.com/office/drawing/2014/main" id="{49D36322-8242-4C39-9F10-ECF2717AC732}"/>
            </a:ext>
          </a:extLst>
        </xdr:cNvPr>
        <xdr:cNvSpPr/>
      </xdr:nvSpPr>
      <xdr:spPr>
        <a:xfrm>
          <a:off x="7366000" y="6096000"/>
          <a:ext cx="241300" cy="241300"/>
        </a:xfrm>
        <a:prstGeom prst="star5">
          <a:avLst/>
        </a:prstGeom>
        <a:solidFill>
          <a:srgbClr val="FFCC66"/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Steele" refreshedDate="46137.018772453703" createdVersion="8" refreshedVersion="8" minRefreshableVersion="3" recordCount="8" xr:uid="{C43B84FC-25E8-4301-BDCA-659D3C0E23EB}">
  <cacheSource type="worksheet">
    <worksheetSource name="Table1"/>
  </cacheSource>
  <cacheFields count="3">
    <cacheField name="date" numFmtId="14">
      <sharedItems containsSemiMixedTypes="0" containsNonDate="0" containsDate="1" containsString="0" minDate="2026-04-25T00:00:00" maxDate="2026-04-26T00:00:00" count="1">
        <d v="2026-04-25T00:00:00"/>
      </sharedItems>
    </cacheField>
    <cacheField name="category" numFmtId="0">
      <sharedItems count="8">
        <s v="planting"/>
        <s v="beans"/>
        <s v="irrigation"/>
        <s v="watering"/>
        <s v="tomatoes"/>
        <s v="seedlings"/>
        <s v="garlic"/>
        <s v="sunchokes"/>
      </sharedItems>
    </cacheField>
    <cacheField name="c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4"/>
  </r>
  <r>
    <x v="0"/>
    <x v="1"/>
    <n v="1"/>
  </r>
  <r>
    <x v="0"/>
    <x v="2"/>
    <n v="1"/>
  </r>
  <r>
    <x v="0"/>
    <x v="3"/>
    <n v="2"/>
  </r>
  <r>
    <x v="0"/>
    <x v="4"/>
    <n v="1"/>
  </r>
  <r>
    <x v="0"/>
    <x v="5"/>
    <n v="1"/>
  </r>
  <r>
    <x v="0"/>
    <x v="6"/>
    <n v="1"/>
  </r>
  <r>
    <x v="0"/>
    <x v="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46ECE-91C2-44FA-A819-B8F000E122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13" firstHeaderRow="1" firstDataRow="2" firstDataCol="1"/>
  <pivotFields count="3">
    <pivotField axis="axisCol" numFmtId="14" showAll="0">
      <items count="2">
        <item x="0"/>
        <item t="default"/>
      </items>
    </pivotField>
    <pivotField axis="axisRow" showAll="0">
      <items count="9">
        <item x="1"/>
        <item x="6"/>
        <item x="2"/>
        <item x="0"/>
        <item x="5"/>
        <item x="7"/>
        <item x="4"/>
        <item x="3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2">
    <i>
      <x/>
    </i>
    <i t="grand">
      <x/>
    </i>
  </colItems>
  <dataFields count="1">
    <dataField name="Sum of count" fld="2" baseField="0" baseItem="0" numFmtId="1"/>
  </dataFields>
  <formats count="45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0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5">
      <pivotArea type="origin" dataOnly="0" labelOnly="1" outline="0" fieldPosition="0"/>
    </format>
    <format dxfId="34">
      <pivotArea field="0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Col="1" outline="0" fieldPosition="0"/>
    </format>
    <format dxfId="29">
      <pivotArea type="origin" dataOnly="0" labelOnly="1" outline="0" fieldPosition="0"/>
    </format>
    <format dxfId="28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Col="1" outline="0" fieldPosition="0"/>
    </format>
    <format dxfId="23">
      <pivotArea type="origin" dataOnly="0" labelOnly="1" outline="0" fieldPosition="0"/>
    </format>
    <format dxfId="22">
      <pivotArea field="0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Col="1" outline="0" fieldPosition="0"/>
    </format>
    <format dxfId="17">
      <pivotArea type="origin" dataOnly="0" labelOnly="1" outline="0" fieldPosition="0"/>
    </format>
    <format dxfId="16">
      <pivotArea field="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Col="1" outline="0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Col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2E5C61-1920-483B-9EFD-28F1D14F7463}" name="Table1" displayName="Table1" ref="A1:C9" totalsRowShown="0">
  <autoFilter ref="A1:C9" xr:uid="{6A2E5C61-1920-483B-9EFD-28F1D14F7463}"/>
  <tableColumns count="3">
    <tableColumn id="1" xr3:uid="{D644FBC3-9340-413A-9B86-D03FDA31605C}" name="date" dataDxfId="0"/>
    <tableColumn id="2" xr3:uid="{BA74C34D-9050-40E8-91B9-7026D77F0425}" name="category"/>
    <tableColumn id="3" xr3:uid="{111B8D8F-33C2-41EF-BD58-3CC43A0B7D1B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2C4B-DA38-4365-9E0D-D45CB3FECD40}">
  <dimension ref="A3:D20"/>
  <sheetViews>
    <sheetView workbookViewId="0">
      <selection activeCell="B18" sqref="B18"/>
    </sheetView>
  </sheetViews>
  <sheetFormatPr defaultRowHeight="14.25" x14ac:dyDescent="0.45"/>
  <cols>
    <col min="1" max="1" width="14.1328125" bestFit="1" customWidth="1"/>
    <col min="2" max="2" width="16.9296875" bestFit="1" customWidth="1"/>
    <col min="3" max="3" width="9.86328125" bestFit="1" customWidth="1"/>
    <col min="4" max="4" width="9" bestFit="1" customWidth="1"/>
  </cols>
  <sheetData>
    <row r="3" spans="1:3" x14ac:dyDescent="0.45">
      <c r="A3" s="3" t="s">
        <v>13</v>
      </c>
      <c r="B3" s="3" t="s">
        <v>18</v>
      </c>
      <c r="C3" s="3"/>
    </row>
    <row r="4" spans="1:3" x14ac:dyDescent="0.45">
      <c r="A4" s="3" t="s">
        <v>11</v>
      </c>
      <c r="B4" s="4">
        <v>46137</v>
      </c>
      <c r="C4" s="4" t="s">
        <v>12</v>
      </c>
    </row>
    <row r="5" spans="1:3" x14ac:dyDescent="0.45">
      <c r="A5" s="2" t="s">
        <v>4</v>
      </c>
      <c r="B5" s="6">
        <v>1</v>
      </c>
      <c r="C5" s="6">
        <v>1</v>
      </c>
    </row>
    <row r="6" spans="1:3" x14ac:dyDescent="0.45">
      <c r="A6" s="2" t="s">
        <v>9</v>
      </c>
      <c r="B6" s="6">
        <v>1</v>
      </c>
      <c r="C6" s="6">
        <v>1</v>
      </c>
    </row>
    <row r="7" spans="1:3" x14ac:dyDescent="0.45">
      <c r="A7" s="2" t="s">
        <v>5</v>
      </c>
      <c r="B7" s="6">
        <v>1</v>
      </c>
      <c r="C7" s="6">
        <v>1</v>
      </c>
    </row>
    <row r="8" spans="1:3" x14ac:dyDescent="0.45">
      <c r="A8" s="2" t="s">
        <v>3</v>
      </c>
      <c r="B8" s="6">
        <v>4</v>
      </c>
      <c r="C8" s="6">
        <v>4</v>
      </c>
    </row>
    <row r="9" spans="1:3" x14ac:dyDescent="0.45">
      <c r="A9" s="2" t="s">
        <v>8</v>
      </c>
      <c r="B9" s="6">
        <v>1</v>
      </c>
      <c r="C9" s="6">
        <v>1</v>
      </c>
    </row>
    <row r="10" spans="1:3" x14ac:dyDescent="0.45">
      <c r="A10" s="2" t="s">
        <v>10</v>
      </c>
      <c r="B10" s="6">
        <v>1</v>
      </c>
      <c r="C10" s="6">
        <v>1</v>
      </c>
    </row>
    <row r="11" spans="1:3" x14ac:dyDescent="0.45">
      <c r="A11" s="2" t="s">
        <v>7</v>
      </c>
      <c r="B11" s="6">
        <v>1</v>
      </c>
      <c r="C11" s="6">
        <v>1</v>
      </c>
    </row>
    <row r="12" spans="1:3" x14ac:dyDescent="0.45">
      <c r="A12" s="2" t="s">
        <v>6</v>
      </c>
      <c r="B12" s="6">
        <v>2</v>
      </c>
      <c r="C12" s="6">
        <v>2</v>
      </c>
    </row>
    <row r="13" spans="1:3" x14ac:dyDescent="0.45">
      <c r="A13" s="5" t="s">
        <v>12</v>
      </c>
      <c r="B13" s="7">
        <v>12</v>
      </c>
      <c r="C13" s="7">
        <v>12</v>
      </c>
    </row>
    <row r="17" spans="4:4" ht="42.75" x14ac:dyDescent="0.45">
      <c r="D17" s="8" t="s">
        <v>14</v>
      </c>
    </row>
    <row r="18" spans="4:4" ht="57" x14ac:dyDescent="0.45">
      <c r="D18" s="9" t="s">
        <v>15</v>
      </c>
    </row>
    <row r="19" spans="4:4" ht="71.25" x14ac:dyDescent="0.45">
      <c r="D19" s="9" t="s">
        <v>16</v>
      </c>
    </row>
    <row r="20" spans="4:4" ht="71.25" x14ac:dyDescent="0.45">
      <c r="D20" s="9" t="s">
        <v>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EA2C-8401-4C4C-A1D5-5F2FD6E3E09B}">
  <dimension ref="A1:C9"/>
  <sheetViews>
    <sheetView workbookViewId="0">
      <selection activeCell="M21" sqref="M21"/>
    </sheetView>
  </sheetViews>
  <sheetFormatPr defaultRowHeight="14.25" x14ac:dyDescent="0.45"/>
  <cols>
    <col min="2" max="2" width="10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46137</v>
      </c>
      <c r="B2" t="s">
        <v>3</v>
      </c>
      <c r="C2">
        <v>4</v>
      </c>
    </row>
    <row r="3" spans="1:3" x14ac:dyDescent="0.45">
      <c r="A3" s="1">
        <v>46137</v>
      </c>
      <c r="B3" t="s">
        <v>4</v>
      </c>
      <c r="C3">
        <v>1</v>
      </c>
    </row>
    <row r="4" spans="1:3" x14ac:dyDescent="0.45">
      <c r="A4" s="1">
        <v>46137</v>
      </c>
      <c r="B4" t="s">
        <v>5</v>
      </c>
      <c r="C4">
        <v>1</v>
      </c>
    </row>
    <row r="5" spans="1:3" x14ac:dyDescent="0.45">
      <c r="A5" s="1">
        <v>46137</v>
      </c>
      <c r="B5" t="s">
        <v>6</v>
      </c>
      <c r="C5">
        <v>2</v>
      </c>
    </row>
    <row r="6" spans="1:3" x14ac:dyDescent="0.45">
      <c r="A6" s="1">
        <v>46137</v>
      </c>
      <c r="B6" t="s">
        <v>7</v>
      </c>
      <c r="C6">
        <v>1</v>
      </c>
    </row>
    <row r="7" spans="1:3" x14ac:dyDescent="0.45">
      <c r="A7" s="1">
        <v>46137</v>
      </c>
      <c r="B7" t="s">
        <v>8</v>
      </c>
      <c r="C7">
        <v>1</v>
      </c>
    </row>
    <row r="8" spans="1:3" x14ac:dyDescent="0.45">
      <c r="A8" s="1">
        <v>46137</v>
      </c>
      <c r="B8" t="s">
        <v>9</v>
      </c>
      <c r="C8">
        <v>1</v>
      </c>
    </row>
    <row r="9" spans="1:3" x14ac:dyDescent="0.45">
      <c r="A9" s="1">
        <v>46137</v>
      </c>
      <c r="B9" t="s">
        <v>10</v>
      </c>
      <c r="C9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D84C-4A01-4393-AA79-82458749B1B4}">
  <dimension ref="A1"/>
  <sheetViews>
    <sheetView topLeftCell="B4" workbookViewId="0">
      <selection activeCell="R4" sqref="R4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F036-6EDB-4E5C-97D3-3F2434FFD38E}">
  <dimension ref="A1:Z50"/>
  <sheetViews>
    <sheetView tabSelected="1" workbookViewId="0">
      <pane ySplit="3" topLeftCell="A4" activePane="bottomLeft" state="frozen"/>
      <selection pane="bottomLeft" activeCell="U10" sqref="U10"/>
    </sheetView>
  </sheetViews>
  <sheetFormatPr defaultRowHeight="14.25" x14ac:dyDescent="0.45"/>
  <cols>
    <col min="1" max="1" width="3.53125" customWidth="1"/>
    <col min="2" max="2" width="17.796875" customWidth="1"/>
    <col min="3" max="5" width="14.19921875" customWidth="1"/>
    <col min="6" max="26" width="5.33203125" customWidth="1"/>
  </cols>
  <sheetData>
    <row r="1" spans="1:26" ht="60" customHeight="1" x14ac:dyDescent="0.45">
      <c r="A1" s="19"/>
      <c r="B1" s="20" t="s">
        <v>19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0" customHeight="1" x14ac:dyDescent="0.55000000000000004">
      <c r="A2" s="10"/>
      <c r="B2" s="11" t="s">
        <v>20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05" customHeight="1" x14ac:dyDescent="0.4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2.05" customHeight="1" x14ac:dyDescent="0.5">
      <c r="A4" s="10"/>
      <c r="B4" s="12" t="s">
        <v>21</v>
      </c>
      <c r="C4" s="12" t="s">
        <v>22</v>
      </c>
      <c r="D4" s="12" t="s">
        <v>23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05" customHeight="1" x14ac:dyDescent="0.45">
      <c r="A5" s="10"/>
      <c r="B5" s="13" t="str">
        <f>weekly_data!B2</f>
        <v>planting</v>
      </c>
      <c r="C5" s="13">
        <f>weekly_data!C2</f>
        <v>4</v>
      </c>
      <c r="D5" s="13" t="str">
        <f>IF(C5&gt;=3,"🔥 HIGH",IF(C5&gt;=2,"⭐ MEDIUM","💫 LOW"))</f>
        <v>🔥 HIGH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05" customHeight="1" x14ac:dyDescent="0.45">
      <c r="A6" s="10"/>
      <c r="B6" s="14" t="str">
        <f>weekly_data!B3</f>
        <v>beans</v>
      </c>
      <c r="C6" s="14">
        <f>weekly_data!C3</f>
        <v>1</v>
      </c>
      <c r="D6" s="14" t="str">
        <f>IF(C6&gt;=3,"🔥 HIGH",IF(C6&gt;=2,"⭐ MEDIUM","💫 LOW"))</f>
        <v>💫 LOW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2.05" customHeight="1" x14ac:dyDescent="0.45">
      <c r="A7" s="10"/>
      <c r="B7" s="13" t="str">
        <f>weekly_data!B4</f>
        <v>irrigation</v>
      </c>
      <c r="C7" s="13">
        <f>weekly_data!C4</f>
        <v>1</v>
      </c>
      <c r="D7" s="13" t="str">
        <f>IF(C7&gt;=3,"🔥 HIGH",IF(C7&gt;=2,"⭐ MEDIUM","💫 LOW"))</f>
        <v>💫 LOW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05" customHeight="1" x14ac:dyDescent="0.45">
      <c r="A8" s="10"/>
      <c r="B8" s="14" t="str">
        <f>weekly_data!B5</f>
        <v>watering</v>
      </c>
      <c r="C8" s="14">
        <f>weekly_data!C5</f>
        <v>2</v>
      </c>
      <c r="D8" s="14" t="str">
        <f>IF(C8&gt;=3,"🔥 HIGH",IF(C8&gt;=2,"⭐ MEDIUM","💫 LOW"))</f>
        <v>⭐ MEDIUM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2.05" customHeight="1" x14ac:dyDescent="0.45">
      <c r="A9" s="10"/>
      <c r="B9" s="13" t="str">
        <f>weekly_data!B6</f>
        <v>tomatoes</v>
      </c>
      <c r="C9" s="13">
        <f>weekly_data!C6</f>
        <v>1</v>
      </c>
      <c r="D9" s="13" t="str">
        <f>IF(C9&gt;=3,"🔥 HIGH",IF(C9&gt;=2,"⭐ MEDIUM","💫 LOW"))</f>
        <v>💫 LOW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05" customHeight="1" x14ac:dyDescent="0.45">
      <c r="A10" s="10"/>
      <c r="B10" s="14" t="str">
        <f>weekly_data!B7</f>
        <v>seedlings</v>
      </c>
      <c r="C10" s="14">
        <f>weekly_data!C7</f>
        <v>1</v>
      </c>
      <c r="D10" s="14" t="str">
        <f>IF(C10&gt;=3,"🔥 HIGH",IF(C10&gt;=2,"⭐ MEDIUM","💫 LOW"))</f>
        <v>💫 LOW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05" customHeight="1" x14ac:dyDescent="0.45">
      <c r="A11" s="10"/>
      <c r="B11" s="13" t="str">
        <f>weekly_data!B8</f>
        <v>garlic</v>
      </c>
      <c r="C11" s="13">
        <f>weekly_data!C8</f>
        <v>1</v>
      </c>
      <c r="D11" s="13" t="str">
        <f>IF(C11&gt;=3,"🔥 HIGH",IF(C11&gt;=2,"⭐ MEDIUM","💫 LOW"))</f>
        <v>💫 LOW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05" customHeight="1" x14ac:dyDescent="0.45">
      <c r="A12" s="10"/>
      <c r="B12" s="14" t="str">
        <f>weekly_data!B9</f>
        <v>sunchokes</v>
      </c>
      <c r="C12" s="14">
        <f>weekly_data!C9</f>
        <v>1</v>
      </c>
      <c r="D12" s="14" t="str">
        <f>IF(C12&gt;=3,"🔥 HIGH",IF(C12&gt;=2,"⭐ MEDIUM","💫 LOW"))</f>
        <v>💫 LOW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2.05" customHeight="1" x14ac:dyDescent="0.4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.05" customHeight="1" x14ac:dyDescent="0.55000000000000004">
      <c r="A14" s="10"/>
      <c r="B14" s="15" t="s">
        <v>24</v>
      </c>
      <c r="C14" s="16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2.05" customHeight="1" x14ac:dyDescent="0.45">
      <c r="A15" s="10"/>
      <c r="B15" s="17" t="s">
        <v>25</v>
      </c>
      <c r="C15" s="17">
        <f>SUM(weekly_data!C:C)</f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2.05" customHeight="1" x14ac:dyDescent="0.45">
      <c r="A16" s="10"/>
      <c r="B16" s="17" t="s">
        <v>26</v>
      </c>
      <c r="C16" s="17">
        <f>COUNTA(weekly_data!B2:B100)</f>
        <v>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2.05" customHeight="1" x14ac:dyDescent="0.45">
      <c r="A17" s="10"/>
      <c r="B17" s="17" t="s">
        <v>27</v>
      </c>
      <c r="C17" s="17" t="str">
        <f>INDEX(weekly_data!B2:B100,MATCH(MAX(weekly_data!C2:C100),weekly_data!C2:C100,0))</f>
        <v>planting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2.05" customHeight="1" x14ac:dyDescent="0.45">
      <c r="A18" s="10"/>
      <c r="B18" s="17" t="s">
        <v>28</v>
      </c>
      <c r="C18" s="18">
        <f>MAX(weekly_data!A:A)</f>
        <v>46137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2.05" customHeight="1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22.05" customHeight="1" x14ac:dyDescent="0.4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2.05" customHeight="1" x14ac:dyDescent="0.4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2.05" customHeight="1" x14ac:dyDescent="0.45">
      <c r="A22" s="10"/>
      <c r="B22" s="21" t="s">
        <v>29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2.05" customHeight="1" x14ac:dyDescent="0.4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2.05" customHeight="1" x14ac:dyDescent="0.4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2.05" customHeight="1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2.05" customHeight="1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2.05" customHeight="1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2.05" customHeight="1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2.05" customHeight="1" x14ac:dyDescent="0.4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2.05" customHeight="1" x14ac:dyDescent="0.4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2.05" customHeight="1" x14ac:dyDescent="0.4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2.05" customHeight="1" x14ac:dyDescent="0.4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2.05" customHeight="1" x14ac:dyDescent="0.4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2.05" customHeight="1" x14ac:dyDescent="0.4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2.05" customHeight="1" x14ac:dyDescent="0.4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2.05" customHeight="1" x14ac:dyDescent="0.4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2.05" customHeight="1" x14ac:dyDescent="0.4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2.05" customHeight="1" x14ac:dyDescent="0.4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2.05" customHeight="1" x14ac:dyDescent="0.4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2.05" customHeight="1" x14ac:dyDescent="0.4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2.05" customHeight="1" x14ac:dyDescent="0.4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2.05" customHeight="1" x14ac:dyDescent="0.4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2.05" customHeight="1" x14ac:dyDescent="0.4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2.05" customHeight="1" x14ac:dyDescent="0.4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2.05" customHeight="1" x14ac:dyDescent="0.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2.05" customHeight="1" x14ac:dyDescent="0.4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2.05" customHeight="1" x14ac:dyDescent="0.4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2.05" customHeight="1" x14ac:dyDescent="0.4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2.05" customHeight="1" x14ac:dyDescent="0.4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2.05" customHeight="1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weekly_data</vt:lpstr>
      <vt:lpstr>Sheet2</vt:lpstr>
      <vt:lpstr>SpaceDashboard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Steele</cp:lastModifiedBy>
  <dcterms:created xsi:type="dcterms:W3CDTF">2026-04-25T07:22:52Z</dcterms:created>
  <dcterms:modified xsi:type="dcterms:W3CDTF">2026-05-09T07:37:03Z</dcterms:modified>
</cp:coreProperties>
</file>